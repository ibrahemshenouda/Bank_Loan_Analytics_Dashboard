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_Analysis\Excel\Projects\Excel\Final_Project\"/>
    </mc:Choice>
  </mc:AlternateContent>
  <xr:revisionPtr revIDLastSave="0" documentId="8_{CE8B33E3-B52E-46B9-99C2-9D133511632A}" xr6:coauthVersionLast="47" xr6:coauthVersionMax="47" xr10:uidLastSave="{00000000-0000-0000-0000-000000000000}"/>
  <bookViews>
    <workbookView xWindow="-108" yWindow="-108" windowWidth="23256" windowHeight="12720" xr2:uid="{FC442181-B7D3-442D-AF7B-791D3632D7BB}"/>
  </bookViews>
  <sheets>
    <sheet name="Analytics Engine" sheetId="1" r:id="rId1"/>
    <sheet name="Dashboard" sheetId="2" r:id="rId2"/>
  </sheets>
  <calcPr calcId="191029"/>
  <pivotCaches>
    <pivotCache cacheId="31" r:id="rId3"/>
    <pivotCache cacheId="44" r:id="rId4"/>
    <pivotCache cacheId="80" r:id="rId5"/>
    <pivotCache cacheId="92" r:id="rId6"/>
    <pivotCache cacheId="136" r:id="rId7"/>
    <pivotCache cacheId="230" r:id="rId8"/>
    <pivotCache cacheId="293" r:id="rId9"/>
    <pivotCache cacheId="296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anch_9018d5ec-9246-4b0f-911b-5915dff96ad2" name="Branch" connection="Query - Branch"/>
          <x15:modelTable id="LoanDetails_b1e418c4-3cf0-4cf0-99c8-c2fca244e4f4" name="LoanDetails" connection="Query - LoanDetails"/>
          <x15:modelTable id="Products_d878aada-e918-40bc-9c4b-27b2c04ae8bc" name="Products" connection="Query - Products"/>
          <x15:modelTable id="Calendar" name="Calendar" connection="Connection"/>
        </x15:modelTables>
        <x15:modelRelationships>
          <x15:modelRelationship fromTable="LoanDetails" fromColumn="Product ID" toTable="Products" toColumn="Product ID"/>
          <x15:modelRelationship fromTable="LoanDetails" fromColumn="Branch ID" toTable="Branch" toColumn="Branch ID"/>
          <x15:modelRelationship fromTable="LoanDetails" fromColumn="Application 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1C2541-C90E-4C78-9903-BC4854490FF5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2D4541B7-2961-40F7-B572-A6D844BA4DDF}" name="Query - Branch" description="Connection to the 'Branch' query in the workbook." type="100" refreshedVersion="8" minRefreshableVersion="5">
    <extLst>
      <ext xmlns:x15="http://schemas.microsoft.com/office/spreadsheetml/2010/11/main" uri="{DE250136-89BD-433C-8126-D09CA5730AF9}">
        <x15:connection id="db66e9e2-2ccc-4ee5-83c8-02324f99f5bd"/>
      </ext>
    </extLst>
  </connection>
  <connection id="3" xr16:uid="{C42B6D53-2E4E-419E-A8B2-7CBBD0998563}" name="Query - LoanDetails" description="Connection to the 'LoanDetails' query in the workbook." type="100" refreshedVersion="8" minRefreshableVersion="5">
    <extLst>
      <ext xmlns:x15="http://schemas.microsoft.com/office/spreadsheetml/2010/11/main" uri="{DE250136-89BD-433C-8126-D09CA5730AF9}">
        <x15:connection id="459a7d5b-6e56-4517-a14b-a6777657d663"/>
      </ext>
    </extLst>
  </connection>
  <connection id="4" xr16:uid="{36590B27-47E2-4CF3-B3DF-F18F1574EA55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19e894e3-01bb-4430-b42e-052599725e23"/>
      </ext>
    </extLst>
  </connection>
  <connection id="5" xr16:uid="{EECB92F4-628A-4E59-9F9E-E6BA3E0ACE4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<sst xmlns="http://schemas.openxmlformats.org/spreadsheetml/2006/main" count="54" uniqueCount="48">
  <si>
    <t>Cards</t>
  </si>
  <si>
    <t>Charts</t>
  </si>
  <si>
    <t>Total Sales</t>
  </si>
  <si>
    <t>Total Requested Amount</t>
  </si>
  <si>
    <t>Grand Total</t>
  </si>
  <si>
    <t>Count of Transaction ID</t>
  </si>
  <si>
    <t>Count of Cases</t>
  </si>
  <si>
    <t>Total Approved</t>
  </si>
  <si>
    <t>Angelastad</t>
  </si>
  <si>
    <t>East Carrie</t>
  </si>
  <si>
    <t>East Jenniferfort</t>
  </si>
  <si>
    <t>Franciscoport</t>
  </si>
  <si>
    <t>Hernandezhaven</t>
  </si>
  <si>
    <t>Marciaville</t>
  </si>
  <si>
    <t>North Phillip</t>
  </si>
  <si>
    <t>Porterton</t>
  </si>
  <si>
    <t>West Sarah</t>
  </si>
  <si>
    <t>Williamhaven</t>
  </si>
  <si>
    <t>Auto Loan</t>
  </si>
  <si>
    <t>Business Loan</t>
  </si>
  <si>
    <t>Education Loan</t>
  </si>
  <si>
    <t>Home Loan</t>
  </si>
  <si>
    <t>Personal Loan</t>
  </si>
  <si>
    <t>EMP11</t>
  </si>
  <si>
    <t>EMP13</t>
  </si>
  <si>
    <t>EMP15</t>
  </si>
  <si>
    <t>EMP17</t>
  </si>
  <si>
    <t>EMP19</t>
  </si>
  <si>
    <t>Top 5 Officers</t>
  </si>
  <si>
    <t>Branches Sales</t>
  </si>
  <si>
    <t xml:space="preserve"> Products Sales</t>
  </si>
  <si>
    <t>Product</t>
  </si>
  <si>
    <t>Branch</t>
  </si>
  <si>
    <t>Officer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</si>
  <si>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</si>
  <si>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</si>
  <si>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</si>
  <si>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</si>
  <si>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</si>
  <si>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</si>
  <si>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</si>
  <si>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</si>
  <si>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</si>
  <si>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</si>
  <si>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</si>
  <si>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</si>
  <si>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2024 Transaction</t>
  </si>
  <si>
    <t>Year/Month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</si>
</sst>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pivotButton="1"/>
    <xf numFmtId="43" fontId="0" fillId="0" borderId="0" xfId="1" applyFont="1"/>
    <xf numFmtId="43" fontId="0" fillId="0" borderId="0" xfId="1" pivotButton="1" applyFont="1"/>
    <xf numFmtId="43" fontId="0" fillId="0" borderId="0" xfId="0" applyNumberFormat="1" applyAlignment="1">
      <alignment horizontal="left"/>
    </xf>
    <xf numFmtId="43" fontId="0" fillId="0" borderId="0" xfId="0" applyNumberFormat="1"/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3" fontId="0" fillId="0" borderId="0" xfId="1" applyFont="1" applyAlignment="1">
      <alignment horizontal="left"/>
    </xf>
    <xf numFmtId="43" fontId="3" fillId="3" borderId="0" xfId="1" applyFont="1" applyFill="1" applyAlignment="1">
      <alignment horizontal="center" vertical="center"/>
    </xf>
    <xf numFmtId="43" fontId="2" fillId="3" borderId="0" xfId="1" applyFont="1" applyFill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/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Border="1"/>
    <xf numFmtId="43" fontId="0" fillId="0" borderId="0" xfId="1" applyFont="1" applyAlignment="1">
      <alignment horizontal="left" indent="1"/>
    </xf>
  </cellXfs>
  <cellStyles count="2">
    <cellStyle name="Comma" xfId="1" builtinId="3"/>
    <cellStyle name="Normal" xfId="0" builtinId="0"/>
  </cellStyles>
  <dxfs count="284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/>
    </dxf>
    <dxf>
      <alignment horizontal="center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42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3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[My_project.xlsx]Analytics Engine!ColumnChart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Total Sales Per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'Analytics Engine'!$J$8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'Analytics Engine'!$I$9:$I$19</c:f>
              <c:strCache>
                <c:ptCount val="10"/>
                <c:pt idx="0">
                  <c:v>Hernandezhaven</c:v>
                </c:pt>
                <c:pt idx="1">
                  <c:v>Franciscoport</c:v>
                </c:pt>
                <c:pt idx="2">
                  <c:v>East Jenniferfort</c:v>
                </c:pt>
                <c:pt idx="3">
                  <c:v>Angelastad</c:v>
                </c:pt>
                <c:pt idx="4">
                  <c:v>Porterton</c:v>
                </c:pt>
                <c:pt idx="5">
                  <c:v>North Phillip</c:v>
                </c:pt>
                <c:pt idx="6">
                  <c:v>Marciaville</c:v>
                </c:pt>
                <c:pt idx="7">
                  <c:v>Williamhaven</c:v>
                </c:pt>
                <c:pt idx="8">
                  <c:v>West Sarah</c:v>
                </c:pt>
                <c:pt idx="9">
                  <c:v>East Carrie</c:v>
                </c:pt>
              </c:strCache>
            </c:strRef>
          </c:cat>
          <c:val>
            <c:numRef>
              <c:f>'Analytics Engine'!$J$9:$J$19</c:f>
              <c:numCache>
                <c:formatCode>_(* #,##0.00_);_(* \(#,##0.00\);_(* "-"??_);_(@_)</c:formatCode>
                <c:ptCount val="10"/>
                <c:pt idx="0">
                  <c:v>4356335.4000000004</c:v>
                </c:pt>
                <c:pt idx="1">
                  <c:v>4233015.87</c:v>
                </c:pt>
                <c:pt idx="2">
                  <c:v>4060588.97</c:v>
                </c:pt>
                <c:pt idx="3">
                  <c:v>4015448.15</c:v>
                </c:pt>
                <c:pt idx="4">
                  <c:v>3946702.22</c:v>
                </c:pt>
                <c:pt idx="5">
                  <c:v>3788112</c:v>
                </c:pt>
                <c:pt idx="6">
                  <c:v>3639656.87</c:v>
                </c:pt>
                <c:pt idx="7">
                  <c:v>3558604.82</c:v>
                </c:pt>
                <c:pt idx="8">
                  <c:v>3526715.84</c:v>
                </c:pt>
                <c:pt idx="9">
                  <c:v>3380986.31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CF-4867-8D2F-15A321C8F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276416"/>
        <c:axId val="456277376"/>
      </c:barChart>
      <c:catAx>
        <c:axId val="45627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77376"/>
        <c:crosses val="autoZero"/>
        <c:auto val="1"/>
        <c:lblAlgn val="ctr"/>
        <c:lblOffset val="100"/>
        <c:noMultiLvlLbl val="0"/>
      </c:catAx>
      <c:valAx>
        <c:axId val="45627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76416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99000"/>
        </a:schemeClr>
      </a:solidFill>
      <a:round/>
    </a:ln>
    <a:effectLst>
      <a:glow rad="63500">
        <a:schemeClr val="accent6">
          <a:satMod val="175000"/>
          <a:alpha val="40000"/>
        </a:schemeClr>
      </a:glow>
      <a:outerShdw blurRad="63500" sx="102000" sy="102000" algn="ctr" rotWithShape="0">
        <a:prstClr val="black">
          <a:alpha val="40000"/>
        </a:prstClr>
      </a:outerShdw>
      <a:softEdge rad="0"/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[My_project.xlsx]Analytics Engine!PieChart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Products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3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3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'Analytics Engine'!$J$24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DF-4335-A31E-5122EBF6D1BF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DF-4335-A31E-5122EBF6D1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DF-4335-A31E-5122EBF6D1BF}"/>
              </c:ext>
            </c:extLst>
          </c:dPt>
          <c:dPt>
            <c:idx val="3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DF-4335-A31E-5122EBF6D1BF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DF-4335-A31E-5122EBF6D1B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DF-4335-A31E-5122EBF6D1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'Analytics Engine'!$I$25:$I$30</c:f>
              <c:strCache>
                <c:ptCount val="5"/>
                <c:pt idx="0">
                  <c:v>Personal Loan</c:v>
                </c:pt>
                <c:pt idx="1">
                  <c:v>Auto Loan</c:v>
                </c:pt>
                <c:pt idx="2">
                  <c:v>Business Loan</c:v>
                </c:pt>
                <c:pt idx="3">
                  <c:v>Education Loan</c:v>
                </c:pt>
                <c:pt idx="4">
                  <c:v>Home Loan</c:v>
                </c:pt>
              </c:strCache>
            </c:strRef>
          </c:cat>
          <c:val>
            <c:numRef>
              <c:f>'Analytics Engine'!$J$25:$J$30</c:f>
              <c:numCache>
                <c:formatCode>_(* #,##0.00_);_(* \(#,##0.00\);_(* "-"??_);_(@_)</c:formatCode>
                <c:ptCount val="5"/>
                <c:pt idx="0">
                  <c:v>8236553.2300000004</c:v>
                </c:pt>
                <c:pt idx="1">
                  <c:v>8187100.4400000004</c:v>
                </c:pt>
                <c:pt idx="2">
                  <c:v>8133032.2300000004</c:v>
                </c:pt>
                <c:pt idx="3">
                  <c:v>7267406.7300000004</c:v>
                </c:pt>
                <c:pt idx="4">
                  <c:v>6682073.8200000003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DF-4335-A31E-5122EBF6D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/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[My_project.xlsx]Analytics Engine!LineChart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Total Caces Per Month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38100" cap="rnd">
            <a:solidFill>
              <a:schemeClr val="accent3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38100" cap="rnd">
            <a:solidFill>
              <a:schemeClr val="accent3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3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'Analytics Engine'!$N$20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multiLvlStrRef>
              <c:f>'Analytics Engine'!$M$21:$M$34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'Analytics Engine'!$N$21:$N$34</c:f>
              <c:numCache>
                <c:formatCode>_(* #,##0.00_);_(* \(#,##0.00\);_(* "-"??_);_(@_)</c:formatCode>
                <c:ptCount val="12"/>
                <c:pt idx="0">
                  <c:v>41</c:v>
                </c:pt>
                <c:pt idx="1">
                  <c:v>42</c:v>
                </c:pt>
                <c:pt idx="2">
                  <c:v>51</c:v>
                </c:pt>
                <c:pt idx="3">
                  <c:v>31</c:v>
                </c:pt>
                <c:pt idx="4">
                  <c:v>40</c:v>
                </c:pt>
                <c:pt idx="5">
                  <c:v>49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37</c:v>
                </c:pt>
                <c:pt idx="10">
                  <c:v>35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9-441F-A1E4-F6B56D3E1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117424"/>
        <c:axId val="647116464"/>
      </c:lineChart>
      <c:catAx>
        <c:axId val="64711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16464"/>
        <c:crosses val="autoZero"/>
        <c:auto val="1"/>
        <c:lblAlgn val="ctr"/>
        <c:lblOffset val="100"/>
        <c:noMultiLvlLbl val="0"/>
      </c:catAx>
      <c:valAx>
        <c:axId val="64711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1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6">
          <a:satMod val="175000"/>
          <a:alpha val="40000"/>
        </a:schemeClr>
      </a:glow>
      <a:outerShdw blurRad="50800" dist="38100" dir="2700000" sx="99000" sy="99000" algn="tl" rotWithShape="0">
        <a:schemeClr val="accent3">
          <a:lumMod val="75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chart" Target="../charts/chart1.xml"/><Relationship Id="rId2" Type="http://schemas.openxmlformats.org/officeDocument/2006/relationships/hyperlink" Target="#'Analytics Engine'!A1"/><Relationship Id="rId1" Type="http://schemas.openxmlformats.org/officeDocument/2006/relationships/image" Target="../media/image1.jpeg"/><Relationship Id="rId6" Type="http://schemas.microsoft.com/office/2007/relationships/hdphoto" Target="../media/hdphoto2.wdp"/><Relationship Id="rId5" Type="http://schemas.openxmlformats.org/officeDocument/2006/relationships/image" Target="../media/image3.png"/><Relationship Id="rId4" Type="http://schemas.microsoft.com/office/2007/relationships/hdphoto" Target="../media/hdphoto1.wdp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281940</xdr:colOff>
      <xdr:row>33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A488E-1682-4FAD-9C48-233B54228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12340" cy="6118860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274320</xdr:colOff>
      <xdr:row>15</xdr:row>
      <xdr:rowOff>144780</xdr:rowOff>
    </xdr:from>
    <xdr:to>
      <xdr:col>1</xdr:col>
      <xdr:colOff>292249</xdr:colOff>
      <xdr:row>19</xdr:row>
      <xdr:rowOff>76648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0A2868-5D31-4135-9627-D36C48CFD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2887980"/>
          <a:ext cx="627529" cy="663388"/>
        </a:xfrm>
        <a:prstGeom prst="rect">
          <a:avLst/>
        </a:prstGeom>
      </xdr:spPr>
    </xdr:pic>
    <xdr:clientData/>
  </xdr:twoCellAnchor>
  <xdr:twoCellAnchor editAs="oneCell">
    <xdr:from>
      <xdr:col>0</xdr:col>
      <xdr:colOff>502920</xdr:colOff>
      <xdr:row>4</xdr:row>
      <xdr:rowOff>83821</xdr:rowOff>
    </xdr:from>
    <xdr:to>
      <xdr:col>1</xdr:col>
      <xdr:colOff>484505</xdr:colOff>
      <xdr:row>7</xdr:row>
      <xdr:rowOff>68581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B5EA88-7D72-48F7-A96E-92BAB6B5C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" y="815341"/>
          <a:ext cx="591185" cy="5334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6</xdr:row>
      <xdr:rowOff>114300</xdr:rowOff>
    </xdr:from>
    <xdr:to>
      <xdr:col>7</xdr:col>
      <xdr:colOff>190500</xdr:colOff>
      <xdr:row>14</xdr:row>
      <xdr:rowOff>106680</xdr:rowOff>
    </xdr:to>
    <xdr:sp macro="" textlink="'Analytics Engine'!B9">
      <xdr:nvSpPr>
        <xdr:cNvPr id="5" name="Rectangle: Rounded Corners 4">
          <a:extLst>
            <a:ext uri="{FF2B5EF4-FFF2-40B4-BE49-F238E27FC236}">
              <a16:creationId xmlns:a16="http://schemas.microsoft.com/office/drawing/2014/main" id="{F22B24B6-5BB3-F23A-7EBF-4EA1602D092F}"/>
            </a:ext>
          </a:extLst>
        </xdr:cNvPr>
        <xdr:cNvSpPr/>
      </xdr:nvSpPr>
      <xdr:spPr>
        <a:xfrm>
          <a:off x="1485900" y="1211580"/>
          <a:ext cx="2971800" cy="14554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58CADE1E-BB25-44E2-B8C4-93A4B91E0A96}" type="TxLink">
            <a:rPr lang="en-US" sz="2800" b="1" i="0" u="none" strike="noStrike">
              <a:solidFill>
                <a:schemeClr val="tx1"/>
              </a:solidFill>
              <a:latin typeface="Aptos Narrow"/>
            </a:rPr>
            <a:pPr algn="ctr"/>
            <a:t> 38,506,166 </a:t>
          </a:fld>
          <a:endParaRPr lang="en-US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525780</xdr:colOff>
      <xdr:row>5</xdr:row>
      <xdr:rowOff>30480</xdr:rowOff>
    </xdr:from>
    <xdr:to>
      <xdr:col>6</xdr:col>
      <xdr:colOff>495300</xdr:colOff>
      <xdr:row>7</xdr:row>
      <xdr:rowOff>137160</xdr:rowOff>
    </xdr:to>
    <xdr:sp macro="" textlink="'Analytics Engine'!B8">
      <xdr:nvSpPr>
        <xdr:cNvPr id="6" name="Rectangle: Rounded Corners 5">
          <a:extLst>
            <a:ext uri="{FF2B5EF4-FFF2-40B4-BE49-F238E27FC236}">
              <a16:creationId xmlns:a16="http://schemas.microsoft.com/office/drawing/2014/main" id="{F1F2848A-73AD-4F83-173B-07192A7B80C1}"/>
            </a:ext>
          </a:extLst>
        </xdr:cNvPr>
        <xdr:cNvSpPr/>
      </xdr:nvSpPr>
      <xdr:spPr>
        <a:xfrm>
          <a:off x="1744980" y="944880"/>
          <a:ext cx="2407920" cy="47244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49D91AE-7740-4EE6-837C-5C4F397E8651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 algn="ctr"/>
            <a:t>Total Sales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518160</xdr:colOff>
      <xdr:row>6</xdr:row>
      <xdr:rowOff>68580</xdr:rowOff>
    </xdr:from>
    <xdr:to>
      <xdr:col>12</xdr:col>
      <xdr:colOff>441960</xdr:colOff>
      <xdr:row>14</xdr:row>
      <xdr:rowOff>60960</xdr:rowOff>
    </xdr:to>
    <xdr:sp macro="" textlink="'Analytics Engine'!B14">
      <xdr:nvSpPr>
        <xdr:cNvPr id="7" name="Rectangle: Rounded Corners 6">
          <a:extLst>
            <a:ext uri="{FF2B5EF4-FFF2-40B4-BE49-F238E27FC236}">
              <a16:creationId xmlns:a16="http://schemas.microsoft.com/office/drawing/2014/main" id="{42470F91-5FD9-CBA8-3A82-A772BD0785DE}"/>
            </a:ext>
          </a:extLst>
        </xdr:cNvPr>
        <xdr:cNvSpPr/>
      </xdr:nvSpPr>
      <xdr:spPr>
        <a:xfrm>
          <a:off x="4785360" y="1165860"/>
          <a:ext cx="2971800" cy="14554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9057B1D6-2E9B-4A4A-970C-C7B4D25F767B}" type="TxLink">
            <a:rPr lang="en-US" sz="2800" b="1" i="0" u="none" strike="noStrike">
              <a:solidFill>
                <a:schemeClr val="tx1"/>
              </a:solidFill>
              <a:latin typeface="Aptos Narrow"/>
              <a:ea typeface="+mn-ea"/>
              <a:cs typeface="+mn-cs"/>
            </a:rPr>
            <a:pPr marL="0" indent="0" algn="ctr"/>
            <a:t> 345,132,306 </a:t>
          </a:fld>
          <a:endParaRPr lang="en-US" sz="2800" b="1" i="0" u="none" strike="noStrike">
            <a:solidFill>
              <a:schemeClr val="tx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182880</xdr:colOff>
      <xdr:row>5</xdr:row>
      <xdr:rowOff>15240</xdr:rowOff>
    </xdr:from>
    <xdr:to>
      <xdr:col>12</xdr:col>
      <xdr:colOff>152400</xdr:colOff>
      <xdr:row>7</xdr:row>
      <xdr:rowOff>121920</xdr:rowOff>
    </xdr:to>
    <xdr:sp macro="" textlink="'Analytics Engine'!B13">
      <xdr:nvSpPr>
        <xdr:cNvPr id="8" name="Rectangle: Rounded Corners 7">
          <a:extLst>
            <a:ext uri="{FF2B5EF4-FFF2-40B4-BE49-F238E27FC236}">
              <a16:creationId xmlns:a16="http://schemas.microsoft.com/office/drawing/2014/main" id="{FC8FEB12-96A3-38B2-58BF-6515933737EE}"/>
            </a:ext>
          </a:extLst>
        </xdr:cNvPr>
        <xdr:cNvSpPr/>
      </xdr:nvSpPr>
      <xdr:spPr>
        <a:xfrm>
          <a:off x="5059680" y="929640"/>
          <a:ext cx="2407920" cy="47244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5E4F779-8D79-48BE-99A2-702E3EC1117E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Total Requested Amount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342900</xdr:colOff>
      <xdr:row>6</xdr:row>
      <xdr:rowOff>60960</xdr:rowOff>
    </xdr:from>
    <xdr:to>
      <xdr:col>23</xdr:col>
      <xdr:colOff>266700</xdr:colOff>
      <xdr:row>14</xdr:row>
      <xdr:rowOff>53340</xdr:rowOff>
    </xdr:to>
    <xdr:sp macro="" textlink="'Analytics Engine'!B24">
      <xdr:nvSpPr>
        <xdr:cNvPr id="9" name="Rectangle: Rounded Corners 8">
          <a:extLst>
            <a:ext uri="{FF2B5EF4-FFF2-40B4-BE49-F238E27FC236}">
              <a16:creationId xmlns:a16="http://schemas.microsoft.com/office/drawing/2014/main" id="{4E0FDEFC-5425-CB1A-6123-50E8610678F7}"/>
            </a:ext>
          </a:extLst>
        </xdr:cNvPr>
        <xdr:cNvSpPr/>
      </xdr:nvSpPr>
      <xdr:spPr>
        <a:xfrm>
          <a:off x="11315700" y="1158240"/>
          <a:ext cx="2971800" cy="14554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1605C394-11BC-453C-B49A-BBF832822C78}" type="TxLink">
            <a:rPr lang="en-US" sz="2800" b="1" i="0" u="none" strike="noStrike">
              <a:solidFill>
                <a:schemeClr val="tx1"/>
              </a:solidFill>
              <a:latin typeface="Aptos Narrow"/>
              <a:ea typeface="+mn-ea"/>
              <a:cs typeface="+mn-cs"/>
            </a:rPr>
            <a:pPr marL="0" indent="0" algn="ctr"/>
            <a:t> 38,506,166 </a:t>
          </a:fld>
          <a:endParaRPr lang="en-US" sz="2800" b="1" i="0" u="none" strike="noStrike">
            <a:solidFill>
              <a:schemeClr val="tx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7620</xdr:colOff>
      <xdr:row>5</xdr:row>
      <xdr:rowOff>7620</xdr:rowOff>
    </xdr:from>
    <xdr:to>
      <xdr:col>22</xdr:col>
      <xdr:colOff>586740</xdr:colOff>
      <xdr:row>7</xdr:row>
      <xdr:rowOff>114300</xdr:rowOff>
    </xdr:to>
    <xdr:sp macro="" textlink="'Analytics Engine'!B23">
      <xdr:nvSpPr>
        <xdr:cNvPr id="10" name="Rectangle: Rounded Corners 9">
          <a:extLst>
            <a:ext uri="{FF2B5EF4-FFF2-40B4-BE49-F238E27FC236}">
              <a16:creationId xmlns:a16="http://schemas.microsoft.com/office/drawing/2014/main" id="{375BA85F-0D7D-416F-92F0-F37B94A890DF}"/>
            </a:ext>
          </a:extLst>
        </xdr:cNvPr>
        <xdr:cNvSpPr/>
      </xdr:nvSpPr>
      <xdr:spPr>
        <a:xfrm>
          <a:off x="11590020" y="922020"/>
          <a:ext cx="2407920" cy="47244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9BC0C57-6FC0-4418-A557-C3E95DE552AF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Total Approved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83820</xdr:colOff>
      <xdr:row>6</xdr:row>
      <xdr:rowOff>91440</xdr:rowOff>
    </xdr:from>
    <xdr:to>
      <xdr:col>18</xdr:col>
      <xdr:colOff>7620</xdr:colOff>
      <xdr:row>14</xdr:row>
      <xdr:rowOff>83820</xdr:rowOff>
    </xdr:to>
    <xdr:sp macro="" textlink="'Analytics Engine'!B19">
      <xdr:nvSpPr>
        <xdr:cNvPr id="11" name="Rectangle: Rounded Corners 10">
          <a:extLst>
            <a:ext uri="{FF2B5EF4-FFF2-40B4-BE49-F238E27FC236}">
              <a16:creationId xmlns:a16="http://schemas.microsoft.com/office/drawing/2014/main" id="{235AC2D1-BC18-8B86-D775-64F0BD9FEB34}"/>
            </a:ext>
          </a:extLst>
        </xdr:cNvPr>
        <xdr:cNvSpPr/>
      </xdr:nvSpPr>
      <xdr:spPr>
        <a:xfrm>
          <a:off x="8008620" y="1188720"/>
          <a:ext cx="2971800" cy="14554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A0208707-8663-4FB8-A04A-E9A8695C8A48}" type="TxLink">
            <a:rPr lang="en-US" sz="2800" b="1" i="0" u="none" strike="noStrike">
              <a:solidFill>
                <a:schemeClr val="tx1"/>
              </a:solidFill>
              <a:latin typeface="Aptos Narrow"/>
              <a:ea typeface="+mn-ea"/>
              <a:cs typeface="+mn-cs"/>
            </a:rPr>
            <a:pPr marL="0" indent="0" algn="ctr"/>
            <a:t> 999 </a:t>
          </a:fld>
          <a:endParaRPr lang="en-US" sz="2800" b="1" i="0" u="none" strike="noStrike">
            <a:solidFill>
              <a:schemeClr val="tx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358140</xdr:colOff>
      <xdr:row>5</xdr:row>
      <xdr:rowOff>38100</xdr:rowOff>
    </xdr:from>
    <xdr:to>
      <xdr:col>17</xdr:col>
      <xdr:colOff>327660</xdr:colOff>
      <xdr:row>7</xdr:row>
      <xdr:rowOff>144780</xdr:rowOff>
    </xdr:to>
    <xdr:sp macro="" textlink="'Analytics Engine'!B18">
      <xdr:nvSpPr>
        <xdr:cNvPr id="12" name="Rectangle: Rounded Corners 11">
          <a:extLst>
            <a:ext uri="{FF2B5EF4-FFF2-40B4-BE49-F238E27FC236}">
              <a16:creationId xmlns:a16="http://schemas.microsoft.com/office/drawing/2014/main" id="{0871D053-2C8F-5F4A-9F42-52D53399726D}"/>
            </a:ext>
          </a:extLst>
        </xdr:cNvPr>
        <xdr:cNvSpPr/>
      </xdr:nvSpPr>
      <xdr:spPr>
        <a:xfrm>
          <a:off x="8282940" y="952500"/>
          <a:ext cx="2407920" cy="47244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47CE1F2-825D-4ED9-AC1D-22A0C9F3590F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Count of Cases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228600</xdr:colOff>
      <xdr:row>15</xdr:row>
      <xdr:rowOff>175260</xdr:rowOff>
    </xdr:from>
    <xdr:to>
      <xdr:col>7</xdr:col>
      <xdr:colOff>144780</xdr:colOff>
      <xdr:row>31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914717A-CE05-4BE2-8A5E-E45829671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335280</xdr:colOff>
      <xdr:row>15</xdr:row>
      <xdr:rowOff>175260</xdr:rowOff>
    </xdr:from>
    <xdr:to>
      <xdr:col>13</xdr:col>
      <xdr:colOff>7620</xdr:colOff>
      <xdr:row>31</xdr:row>
      <xdr:rowOff>15240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0F111AC-0D8D-405B-B0A4-BFBEAC7A0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167640</xdr:colOff>
      <xdr:row>16</xdr:row>
      <xdr:rowOff>15240</xdr:rowOff>
    </xdr:from>
    <xdr:to>
      <xdr:col>23</xdr:col>
      <xdr:colOff>259080</xdr:colOff>
      <xdr:row>31</xdr:row>
      <xdr:rowOff>45720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2239748-D53D-43D0-8CEE-BCFC5C645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50.700881365738" backgroundQuery="1" createdVersion="8" refreshedVersion="8" minRefreshableVersion="3" recordCount="0" supportSubquery="1" supportAdvancedDrill="1" xr:uid="{71B0AC24-D2E4-441C-9D6D-06D334887FBB}">
  <cacheSource type="external" connectionId="5"/>
  <cacheFields count="1">
    <cacheField name="[Measures].[Sum of Loan Amount]" caption="Sum of Loan Amount" numFmtId="0" hierarchy="34" level="32767"/>
  </cacheFields>
  <cacheHierarchies count="37">
    <cacheHierarchy uniqueName="[Branch].[Branch ID]" caption="Branch ID" attribute="1" defaultMemberUniqueName="[Branch].[Branch ID].[All]" allUniqueName="[Branch].[Branch ID].[All]" dimensionUniqueName="[Branch]" displayFolder="" count="0" memberValueDatatype="130" unbalanced="0"/>
    <cacheHierarchy uniqueName="[Branch].[Branch Name]" caption="Branch Name" attribute="1" defaultMemberUniqueName="[Branch].[Branch Name].[All]" allUniqueName="[Branch].[Branch Name].[All]" dimensionUniqueName="[Branch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2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or (Months)]" caption="Tenor (Months)" attribute="1" defaultMemberUniqueName="[LoanDetails].[Tenor (Months)].[All]" allUniqueName="[LoanDetails].[Tenor (Months)].[All]" dimensionUniqueName="[LoanDetails]" displayFolder="" count="0" memberValueDatatype="20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Installment Amount]" caption="Installment Amount" attribute="1" defaultMemberUniqueName="[LoanDetails].[Installment Amount].[All]" allUniqueName="[LoanDetails].[Installment Amount].[All]" dimensionUniqueName="[LoanDetails]" displayFolder="" count="0" memberValueDatatype="5" unbalanced="0"/>
    <cacheHierarchy uniqueName="[LoanDetails].[TAT]" caption="TAT" attribute="1" defaultMemberUniqueName="[LoanDetails].[TAT].[All]" allUniqueName="[LoanDetails].[TAT].[All]" dimensionUniqueName="[LoanDetails]" displayFolder="" count="0" memberValueDatatype="5" unbalanced="0"/>
    <cacheHierarchy uniqueName="[LoanDetails].[SLA]" caption="SLA" attribute="1" defaultMemberUniqueName="[LoanDetails].[SLA].[All]" allUniqueName="[LoanDetails].[SLA].[All]" dimensionUniqueName="[LoanDetails]" displayFolder="" count="0" memberValueDatatype="2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Measures].[Total Approved]" caption="Total Approved" measure="1" displayFolder="" measureGroup="LoanDetails" count="0"/>
    <cacheHierarchy uniqueName="[Measures].[Total Not Approved]" caption="Total Not Approved" measure="1" displayFolder="" measureGroup="LoanDetails" count="0"/>
    <cacheHierarchy uniqueName="[Measures].[AVG SLA&amp;TAT]" caption="AVG SLA&amp;TAT" measure="1" displayFolder="" measureGroup="LoanDetails" count="0"/>
    <cacheHierarchy uniqueName="[Measures].[__XL_Count Branch]" caption="__XL_Count Branch" measure="1" displayFolder="" measureGroup="Branch" count="0" hidden="1"/>
    <cacheHierarchy uniqueName="[Measures].[__XL_Count LoanDetails]" caption="__XL_Count LoanDetails" measure="1" displayFolder="" measureGroup="LoanDetail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ransaction ID]" caption="Count of Transaction ID" measure="1" displayFolder="" measureGroup="LoanDetai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Branch" uniqueName="[Branch]" caption="Branch"/>
    <dimension name="Calendar" uniqueName="[Calendar]" caption="Calendar"/>
    <dimension name="LoanDetails" uniqueName="[LoanDetails]" caption="LoanDetails"/>
    <dimension measure="1" name="Measures" uniqueName="[Measures]" caption="Measures"/>
    <dimension name="Products" uniqueName="[Products]" caption="Products"/>
  </dimensions>
  <measureGroups count="4">
    <measureGroup name="Branch" caption="Branch"/>
    <measureGroup name="Calendar" caption="Calendar"/>
    <measureGroup name="LoanDetails" caption="LoanDetail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50.703968518515" backgroundQuery="1" createdVersion="8" refreshedVersion="8" minRefreshableVersion="3" recordCount="0" supportSubquery="1" supportAdvancedDrill="1" xr:uid="{46B9BAC5-BF5B-44C2-B6FF-A1C883D70313}">
  <cacheSource type="external" connectionId="5"/>
  <cacheFields count="1">
    <cacheField name="[Measures].[Total Approved]" caption="Total Approved" numFmtId="0" hierarchy="26" level="32767"/>
  </cacheFields>
  <cacheHierarchies count="37">
    <cacheHierarchy uniqueName="[Branch].[Branch ID]" caption="Branch ID" attribute="1" defaultMemberUniqueName="[Branch].[Branch ID].[All]" allUniqueName="[Branch].[Branch ID].[All]" dimensionUniqueName="[Branch]" displayFolder="" count="0" memberValueDatatype="130" unbalanced="0"/>
    <cacheHierarchy uniqueName="[Branch].[Branch Name]" caption="Branch Name" attribute="1" defaultMemberUniqueName="[Branch].[Branch Name].[All]" allUniqueName="[Branch].[Branch Name].[All]" dimensionUniqueName="[Branch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2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2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or (Months)]" caption="Tenor (Months)" attribute="1" defaultMemberUniqueName="[LoanDetails].[Tenor (Months)].[All]" allUniqueName="[LoanDetails].[Tenor (Months)].[All]" dimensionUniqueName="[LoanDetails]" displayFolder="" count="0" memberValueDatatype="20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Installment Amount]" caption="Installment Amount" attribute="1" defaultMemberUniqueName="[LoanDetails].[Installment Amount].[All]" allUniqueName="[LoanDetails].[Installment Amount].[All]" dimensionUniqueName="[LoanDetails]" displayFolder="" count="0" memberValueDatatype="5" unbalanced="0"/>
    <cacheHierarchy uniqueName="[LoanDetails].[TAT]" caption="TAT" attribute="1" defaultMemberUniqueName="[LoanDetails].[TAT].[All]" allUniqueName="[LoanDetails].[TAT].[All]" dimensionUniqueName="[LoanDetails]" displayFolder="" count="0" memberValueDatatype="5" unbalanced="0"/>
    <cacheHierarchy uniqueName="[LoanDetails].[SLA]" caption="SLA" attribute="1" defaultMemberUniqueName="[LoanDetails].[SLA].[All]" allUniqueName="[LoanDetails].[SLA].[All]" dimensionUniqueName="[LoanDetails]" displayFolder="" count="0" memberValueDatatype="2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Measures].[Total Approved]" caption="Total Approved" measure="1" displayFolder="" measureGroup="LoanDetails" count="0" oneField="1">
      <fieldsUsage count="1">
        <fieldUsage x="0"/>
      </fieldsUsage>
    </cacheHierarchy>
    <cacheHierarchy uniqueName="[Measures].[Total Not Approved]" caption="Total Not Approved" measure="1" displayFolder="" measureGroup="LoanDetails" count="0"/>
    <cacheHierarchy uniqueName="[Measures].[AVG SLA&amp;TAT]" caption="AVG SLA&amp;TAT" measure="1" displayFolder="" measureGroup="LoanDetails" count="0"/>
    <cacheHierarchy uniqueName="[Measures].[__XL_Count Branch]" caption="__XL_Count Branch" measure="1" displayFolder="" measureGroup="Branch" count="0" hidden="1"/>
    <cacheHierarchy uniqueName="[Measures].[__XL_Count LoanDetails]" caption="__XL_Count LoanDetails" measure="1" displayFolder="" measureGroup="LoanDetail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ransaction ID]" caption="Count of Transaction ID" measure="1" displayFolder="" measureGroup="LoanDetai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Branch" uniqueName="[Branch]" caption="Branch"/>
    <dimension name="Calendar" uniqueName="[Calendar]" caption="Calendar"/>
    <dimension name="LoanDetails" uniqueName="[LoanDetails]" caption="LoanDetails"/>
    <dimension measure="1" name="Measures" uniqueName="[Measures]" caption="Measures"/>
    <dimension name="Products" uniqueName="[Products]" caption="Products"/>
  </dimensions>
  <measureGroups count="4">
    <measureGroup name="Branch" caption="Branch"/>
    <measureGroup name="Calendar" caption="Calendar"/>
    <measureGroup name="LoanDetails" caption="LoanDetail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50.709388773146" backgroundQuery="1" createdVersion="8" refreshedVersion="8" minRefreshableVersion="3" recordCount="0" supportSubquery="1" supportAdvancedDrill="1" xr:uid="{1BC30DFF-2E08-4172-8EC1-23666CBD08E4}">
  <cacheSource type="external" connectionId="5"/>
  <cacheFields count="2">
    <cacheField name="[Measures].[Sum of Loan Amount]" caption="Sum of Loan Amount" numFmtId="0" hierarchy="34" level="32767"/>
    <cacheField name="[LoanDetails].[Officer ID].[Officer ID]" caption="Officer ID" numFmtId="0" hierarchy="14" level="1">
      <sharedItems count="5">
        <s v="EMP11"/>
        <s v="EMP13"/>
        <s v="EMP15"/>
        <s v="EMP17"/>
        <s v="EMP19"/>
      </sharedItems>
    </cacheField>
  </cacheFields>
  <cacheHierarchies count="37">
    <cacheHierarchy uniqueName="[Branch].[Branch ID]" caption="Branch ID" attribute="1" defaultMemberUniqueName="[Branch].[Branch ID].[All]" allUniqueName="[Branch].[Branch ID].[All]" dimensionUniqueName="[Branch]" displayFolder="" count="2" memberValueDatatype="130" unbalanced="0"/>
    <cacheHierarchy uniqueName="[Branch].[Branch Name]" caption="Branch Name" attribute="1" defaultMemberUniqueName="[Branch].[Branch Name].[All]" allUniqueName="[Branch].[Branch Name].[All]" dimensionUniqueName="[Branch]" displayFolder="" count="2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2" memberValueDatatype="130" unbalanced="0">
      <fieldsUsage count="2">
        <fieldUsage x="-1"/>
        <fieldUsage x="1"/>
      </fieldsUsage>
    </cacheHierarchy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2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or (Months)]" caption="Tenor (Months)" attribute="1" defaultMemberUniqueName="[LoanDetails].[Tenor (Months)].[All]" allUniqueName="[LoanDetails].[Tenor (Months)].[All]" dimensionUniqueName="[LoanDetails]" displayFolder="" count="0" memberValueDatatype="20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Installment Amount]" caption="Installment Amount" attribute="1" defaultMemberUniqueName="[LoanDetails].[Installment Amount].[All]" allUniqueName="[LoanDetails].[Installment Amount].[All]" dimensionUniqueName="[LoanDetails]" displayFolder="" count="0" memberValueDatatype="5" unbalanced="0"/>
    <cacheHierarchy uniqueName="[LoanDetails].[TAT]" caption="TAT" attribute="1" defaultMemberUniqueName="[LoanDetails].[TAT].[All]" allUniqueName="[LoanDetails].[TAT].[All]" dimensionUniqueName="[LoanDetails]" displayFolder="" count="0" memberValueDatatype="5" unbalanced="0"/>
    <cacheHierarchy uniqueName="[LoanDetails].[SLA]" caption="SLA" attribute="1" defaultMemberUniqueName="[LoanDetails].[SLA].[All]" allUniqueName="[LoanDetails].[SLA].[All]" dimensionUniqueName="[LoanDetails]" displayFolder="" count="0" memberValueDatatype="2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/>
    <cacheHierarchy uniqueName="[Measures].[Total Approved]" caption="Total Approved" measure="1" displayFolder="" measureGroup="LoanDetails" count="0"/>
    <cacheHierarchy uniqueName="[Measures].[Total Not Approved]" caption="Total Not Approved" measure="1" displayFolder="" measureGroup="LoanDetails" count="0"/>
    <cacheHierarchy uniqueName="[Measures].[AVG SLA&amp;TAT]" caption="AVG SLA&amp;TAT" measure="1" displayFolder="" measureGroup="LoanDetails" count="0"/>
    <cacheHierarchy uniqueName="[Measures].[__XL_Count Branch]" caption="__XL_Count Branch" measure="1" displayFolder="" measureGroup="Branch" count="0" hidden="1"/>
    <cacheHierarchy uniqueName="[Measures].[__XL_Count LoanDetails]" caption="__XL_Count LoanDetails" measure="1" displayFolder="" measureGroup="LoanDetail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ransaction ID]" caption="Count of Transaction ID" measure="1" displayFolder="" measureGroup="LoanDetai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Branch" uniqueName="[Branch]" caption="Branch"/>
    <dimension name="Calendar" uniqueName="[Calendar]" caption="Calendar"/>
    <dimension name="LoanDetails" uniqueName="[LoanDetails]" caption="LoanDetails"/>
    <dimension measure="1" name="Measures" uniqueName="[Measures]" caption="Measures"/>
    <dimension name="Products" uniqueName="[Products]" caption="Products"/>
  </dimensions>
  <measureGroups count="4">
    <measureGroup name="Branch" caption="Branch"/>
    <measureGroup name="Calendar" caption="Calendar"/>
    <measureGroup name="LoanDetails" caption="LoanDetail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50.71302372685" backgroundQuery="1" createdVersion="8" refreshedVersion="8" minRefreshableVersion="3" recordCount="0" supportSubquery="1" supportAdvancedDrill="1" xr:uid="{C10E9A55-38D3-4F78-BADF-21D23CAB4DF8}">
  <cacheSource type="external" connectionId="5"/>
  <cacheFields count="2">
    <cacheField name="[Measures].[Sum of Loan Amount]" caption="Sum of Loan Amount" numFmtId="0" hierarchy="34" level="32767"/>
    <cacheField name="[Products].[Product Name].[Product Name]" caption="Product Name" numFmtId="0" hierarchy="25" level="1">
      <sharedItems count="5">
        <s v="Auto Loan"/>
        <s v="Business Loan"/>
        <s v="Education Loan"/>
        <s v="Home Loan"/>
        <s v="Personal Loan"/>
      </sharedItems>
    </cacheField>
  </cacheFields>
  <cacheHierarchies count="37">
    <cacheHierarchy uniqueName="[Branch].[Branch ID]" caption="Branch ID" attribute="1" defaultMemberUniqueName="[Branch].[Branch ID].[All]" allUniqueName="[Branch].[Branch ID].[All]" dimensionUniqueName="[Branch]" displayFolder="" count="2" memberValueDatatype="130" unbalanced="0"/>
    <cacheHierarchy uniqueName="[Branch].[Branch Name]" caption="Branch Name" attribute="1" defaultMemberUniqueName="[Branch].[Branch Name].[All]" allUniqueName="[Branch].[Branch Name].[All]" dimensionUniqueName="[Branch]" displayFolder="" count="2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2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or (Months)]" caption="Tenor (Months)" attribute="1" defaultMemberUniqueName="[LoanDetails].[Tenor (Months)].[All]" allUniqueName="[LoanDetails].[Tenor (Months)].[All]" dimensionUniqueName="[LoanDetails]" displayFolder="" count="0" memberValueDatatype="20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Installment Amount]" caption="Installment Amount" attribute="1" defaultMemberUniqueName="[LoanDetails].[Installment Amount].[All]" allUniqueName="[LoanDetails].[Installment Amount].[All]" dimensionUniqueName="[LoanDetails]" displayFolder="" count="0" memberValueDatatype="5" unbalanced="0"/>
    <cacheHierarchy uniqueName="[LoanDetails].[TAT]" caption="TAT" attribute="1" defaultMemberUniqueName="[LoanDetails].[TAT].[All]" allUniqueName="[LoanDetails].[TAT].[All]" dimensionUniqueName="[LoanDetails]" displayFolder="" count="0" memberValueDatatype="5" unbalanced="0"/>
    <cacheHierarchy uniqueName="[LoanDetails].[SLA]" caption="SLA" attribute="1" defaultMemberUniqueName="[LoanDetails].[SLA].[All]" allUniqueName="[LoanDetails].[SLA].[All]" dimensionUniqueName="[LoanDetails]" displayFolder="" count="0" memberValueDatatype="2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>
      <fieldsUsage count="2">
        <fieldUsage x="-1"/>
        <fieldUsage x="1"/>
      </fieldsUsage>
    </cacheHierarchy>
    <cacheHierarchy uniqueName="[Measures].[Total Approved]" caption="Total Approved" measure="1" displayFolder="" measureGroup="LoanDetails" count="0"/>
    <cacheHierarchy uniqueName="[Measures].[Total Not Approved]" caption="Total Not Approved" measure="1" displayFolder="" measureGroup="LoanDetails" count="0"/>
    <cacheHierarchy uniqueName="[Measures].[AVG SLA&amp;TAT]" caption="AVG SLA&amp;TAT" measure="1" displayFolder="" measureGroup="LoanDetails" count="0"/>
    <cacheHierarchy uniqueName="[Measures].[__XL_Count Branch]" caption="__XL_Count Branch" measure="1" displayFolder="" measureGroup="Branch" count="0" hidden="1"/>
    <cacheHierarchy uniqueName="[Measures].[__XL_Count LoanDetails]" caption="__XL_Count LoanDetails" measure="1" displayFolder="" measureGroup="LoanDetail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ransaction ID]" caption="Count of Transaction ID" measure="1" displayFolder="" measureGroup="LoanDetai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Branch" uniqueName="[Branch]" caption="Branch"/>
    <dimension name="Calendar" uniqueName="[Calendar]" caption="Calendar"/>
    <dimension name="LoanDetails" uniqueName="[LoanDetails]" caption="LoanDetails"/>
    <dimension measure="1" name="Measures" uniqueName="[Measures]" caption="Measures"/>
    <dimension name="Products" uniqueName="[Products]" caption="Products"/>
  </dimensions>
  <measureGroups count="4">
    <measureGroup name="Branch" caption="Branch"/>
    <measureGroup name="Calendar" caption="Calendar"/>
    <measureGroup name="LoanDetails" caption="LoanDetail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50.79787638889" backgroundQuery="1" createdVersion="8" refreshedVersion="8" minRefreshableVersion="3" recordCount="0" supportSubquery="1" supportAdvancedDrill="1" xr:uid="{A8EAD93D-25AE-43E9-A497-0C81CA9F6AE3}">
  <cacheSource type="external" connectionId="5"/>
  <cacheFields count="4">
    <cacheField name="[LoanDetails].[Officer ID].[Officer ID]" caption="Officer ID" numFmtId="0" hierarchy="14" level="1">
      <sharedItems count="5">
        <s v="EMP11"/>
        <s v="EMP13"/>
        <s v="EMP15"/>
        <s v="EMP17"/>
        <s v="EMP19"/>
      </sharedItems>
    </cacheField>
    <cacheField name="[Calendar].[Year].[Year]" caption="Year" numFmtId="0" hierarchy="4" level="1">
      <sharedItems containsSemiMixedTypes="0" containsString="0" containsNumber="1" containsInteger="1" minValue="2024" maxValue="2024" count="1"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4]"/>
          </x15:cachedUniqueNames>
        </ext>
      </extLst>
    </cacheField>
    <cacheField name="[Measures].[Count of Transaction ID]" caption="Count of Transaction ID" numFmtId="0" hierarchy="36" level="32767"/>
    <cacheField name="[Calendar].[Month].[Month]" caption="Month" numFmtId="0" hierarchy="6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cacheHierarchies count="37">
    <cacheHierarchy uniqueName="[Branch].[Branch ID]" caption="Branch ID" attribute="1" defaultMemberUniqueName="[Branch].[Branch ID].[All]" allUniqueName="[Branch].[Branch ID].[All]" dimensionUniqueName="[Branch]" displayFolder="" count="2" memberValueDatatype="130" unbalanced="0"/>
    <cacheHierarchy uniqueName="[Branch].[Branch Name]" caption="Branch Name" attribute="1" defaultMemberUniqueName="[Branch].[Branch Name].[All]" allUniqueName="[Branch].[Branch Name].[All]" dimensionUniqueName="[Branch]" displayFolder="" count="2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3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2" memberValueDatatype="130" unbalanced="0">
      <fieldsUsage count="2">
        <fieldUsage x="-1"/>
        <fieldUsage x="0"/>
      </fieldsUsage>
    </cacheHierarchy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2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or (Months)]" caption="Tenor (Months)" attribute="1" defaultMemberUniqueName="[LoanDetails].[Tenor (Months)].[All]" allUniqueName="[LoanDetails].[Tenor (Months)].[All]" dimensionUniqueName="[LoanDetails]" displayFolder="" count="0" memberValueDatatype="20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Installment Amount]" caption="Installment Amount" attribute="1" defaultMemberUniqueName="[LoanDetails].[Installment Amount].[All]" allUniqueName="[LoanDetails].[Installment Amount].[All]" dimensionUniqueName="[LoanDetails]" displayFolder="" count="0" memberValueDatatype="5" unbalanced="0"/>
    <cacheHierarchy uniqueName="[LoanDetails].[TAT]" caption="TAT" attribute="1" defaultMemberUniqueName="[LoanDetails].[TAT].[All]" allUniqueName="[LoanDetails].[TAT].[All]" dimensionUniqueName="[LoanDetails]" displayFolder="" count="0" memberValueDatatype="5" unbalanced="0"/>
    <cacheHierarchy uniqueName="[LoanDetails].[SLA]" caption="SLA" attribute="1" defaultMemberUniqueName="[LoanDetails].[SLA].[All]" allUniqueName="[LoanDetails].[SLA].[All]" dimensionUniqueName="[LoanDetails]" displayFolder="" count="0" memberValueDatatype="2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/>
    <cacheHierarchy uniqueName="[Measures].[Total Approved]" caption="Total Approved" measure="1" displayFolder="" measureGroup="LoanDetails" count="0"/>
    <cacheHierarchy uniqueName="[Measures].[Total Not Approved]" caption="Total Not Approved" measure="1" displayFolder="" measureGroup="LoanDetails" count="0"/>
    <cacheHierarchy uniqueName="[Measures].[AVG SLA&amp;TAT]" caption="AVG SLA&amp;TAT" measure="1" displayFolder="" measureGroup="LoanDetails" count="0"/>
    <cacheHierarchy uniqueName="[Measures].[__XL_Count Branch]" caption="__XL_Count Branch" measure="1" displayFolder="" measureGroup="Branch" count="0" hidden="1"/>
    <cacheHierarchy uniqueName="[Measures].[__XL_Count LoanDetails]" caption="__XL_Count LoanDetails" measure="1" displayFolder="" measureGroup="LoanDetail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ransaction ID]" caption="Count of Transaction ID" measure="1" displayFolder="" measureGroup="Loan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Branch" uniqueName="[Branch]" caption="Branch"/>
    <dimension name="Calendar" uniqueName="[Calendar]" caption="Calendar"/>
    <dimension name="LoanDetails" uniqueName="[LoanDetails]" caption="LoanDetails"/>
    <dimension measure="1" name="Measures" uniqueName="[Measures]" caption="Measures"/>
    <dimension name="Products" uniqueName="[Products]" caption="Products"/>
  </dimensions>
  <measureGroups count="4">
    <measureGroup name="Branch" caption="Branch"/>
    <measureGroup name="Calendar" caption="Calendar"/>
    <measureGroup name="LoanDetails" caption="LoanDetail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50.812078356481" backgroundQuery="1" createdVersion="8" refreshedVersion="8" minRefreshableVersion="3" recordCount="0" supportSubquery="1" supportAdvancedDrill="1" xr:uid="{A366BCC8-DDC8-47A4-999A-EFFDCC448C76}">
  <cacheSource type="external" connectionId="5"/>
  <cacheFields count="2">
    <cacheField name="[Measures].[Sum of Loan Amount]" caption="Sum of Loan Amount" numFmtId="0" hierarchy="34" level="32767"/>
    <cacheField name="[Branch].[Branch Name].[Branch Name]" caption="Branch Name" numFmtId="0" hierarchy="1" level="1">
      <sharedItems count="10">
        <s v="Angelastad"/>
        <s v="East Carrie"/>
        <s v="East Jenniferfort"/>
        <s v="Franciscoport"/>
        <s v="Hernandezhaven"/>
        <s v="Marciaville"/>
        <s v="North Phillip"/>
        <s v="Porterton"/>
        <s v="West Sarah"/>
        <s v="Williamhaven"/>
      </sharedItems>
    </cacheField>
  </cacheFields>
  <cacheHierarchies count="37">
    <cacheHierarchy uniqueName="[Branch].[Branch ID]" caption="Branch ID" attribute="1" defaultMemberUniqueName="[Branch].[Branch ID].[All]" allUniqueName="[Branch].[Branch ID].[All]" dimensionUniqueName="[Branch]" displayFolder="" count="2" memberValueDatatype="130" unbalanced="0"/>
    <cacheHierarchy uniqueName="[Branch].[Branch Name]" caption="Branch Name" attribute="1" defaultMemberUniqueName="[Branch].[Branch Name].[All]" allUniqueName="[Branch].[Branch Name].[All]" dimensionUniqueName="[Branch]" displayFolder="" count="2" memberValueDatatype="130" unbalanced="0">
      <fieldsUsage count="2">
        <fieldUsage x="-1"/>
        <fieldUsage x="1"/>
      </fieldsUsage>
    </cacheHierarchy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2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or (Months)]" caption="Tenor (Months)" attribute="1" defaultMemberUniqueName="[LoanDetails].[Tenor (Months)].[All]" allUniqueName="[LoanDetails].[Tenor (Months)].[All]" dimensionUniqueName="[LoanDetails]" displayFolder="" count="0" memberValueDatatype="20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Installment Amount]" caption="Installment Amount" attribute="1" defaultMemberUniqueName="[LoanDetails].[Installment Amount].[All]" allUniqueName="[LoanDetails].[Installment Amount].[All]" dimensionUniqueName="[LoanDetails]" displayFolder="" count="0" memberValueDatatype="5" unbalanced="0"/>
    <cacheHierarchy uniqueName="[LoanDetails].[TAT]" caption="TAT" attribute="1" defaultMemberUniqueName="[LoanDetails].[TAT].[All]" allUniqueName="[LoanDetails].[TAT].[All]" dimensionUniqueName="[LoanDetails]" displayFolder="" count="0" memberValueDatatype="5" unbalanced="0"/>
    <cacheHierarchy uniqueName="[LoanDetails].[SLA]" caption="SLA" attribute="1" defaultMemberUniqueName="[LoanDetails].[SLA].[All]" allUniqueName="[LoanDetails].[SLA].[All]" dimensionUniqueName="[LoanDetails]" displayFolder="" count="0" memberValueDatatype="2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Measures].[Total Approved]" caption="Total Approved" measure="1" displayFolder="" measureGroup="LoanDetails" count="0"/>
    <cacheHierarchy uniqueName="[Measures].[Total Not Approved]" caption="Total Not Approved" measure="1" displayFolder="" measureGroup="LoanDetails" count="0"/>
    <cacheHierarchy uniqueName="[Measures].[AVG SLA&amp;TAT]" caption="AVG SLA&amp;TAT" measure="1" displayFolder="" measureGroup="LoanDetails" count="0"/>
    <cacheHierarchy uniqueName="[Measures].[__XL_Count Branch]" caption="__XL_Count Branch" measure="1" displayFolder="" measureGroup="Branch" count="0" hidden="1"/>
    <cacheHierarchy uniqueName="[Measures].[__XL_Count LoanDetails]" caption="__XL_Count LoanDetails" measure="1" displayFolder="" measureGroup="LoanDetail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ransaction ID]" caption="Count of Transaction ID" measure="1" displayFolder="" measureGroup="LoanDetai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Branch" uniqueName="[Branch]" caption="Branch"/>
    <dimension name="Calendar" uniqueName="[Calendar]" caption="Calendar"/>
    <dimension name="LoanDetails" uniqueName="[LoanDetails]" caption="LoanDetails"/>
    <dimension measure="1" name="Measures" uniqueName="[Measures]" caption="Measures"/>
    <dimension name="Products" uniqueName="[Products]" caption="Products"/>
  </dimensions>
  <measureGroups count="4">
    <measureGroup name="Branch" caption="Branch"/>
    <measureGroup name="Calendar" caption="Calendar"/>
    <measureGroup name="LoanDetails" caption="LoanDetail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50.812213078701" backgroundQuery="1" createdVersion="8" refreshedVersion="8" minRefreshableVersion="3" recordCount="0" supportSubquery="1" supportAdvancedDrill="1" xr:uid="{B8E41C13-9A3F-42FE-98EF-B48E79BE39E5}">
  <cacheSource type="external" connectionId="5"/>
  <cacheFields count="2">
    <cacheField name="[Measures].[Count of Transaction ID]" caption="Count of Transaction ID" numFmtId="0" hierarchy="36" level="32767"/>
    <cacheField name="[Branch].[Branch Name].[Branch Name]" caption="Branch Name" numFmtId="0" hierarchy="1" level="1">
      <sharedItems containsSemiMixedTypes="0" containsNonDate="0" containsString="0"/>
    </cacheField>
  </cacheFields>
  <cacheHierarchies count="37">
    <cacheHierarchy uniqueName="[Branch].[Branch ID]" caption="Branch ID" attribute="1" defaultMemberUniqueName="[Branch].[Branch ID].[All]" allUniqueName="[Branch].[Branch ID].[All]" dimensionUniqueName="[Branch]" displayFolder="" count="0" memberValueDatatype="130" unbalanced="0"/>
    <cacheHierarchy uniqueName="[Branch].[Branch Name]" caption="Branch Name" attribute="1" defaultMemberUniqueName="[Branch].[Branch Name].[All]" allUniqueName="[Branch].[Branch Name].[All]" dimensionUniqueName="[Branch]" displayFolder="" count="2" memberValueDatatype="130" unbalanced="0">
      <fieldsUsage count="2">
        <fieldUsage x="-1"/>
        <fieldUsage x="1"/>
      </fieldsUsage>
    </cacheHierarchy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2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2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or (Months)]" caption="Tenor (Months)" attribute="1" defaultMemberUniqueName="[LoanDetails].[Tenor (Months)].[All]" allUniqueName="[LoanDetails].[Tenor (Months)].[All]" dimensionUniqueName="[LoanDetails]" displayFolder="" count="0" memberValueDatatype="20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Installment Amount]" caption="Installment Amount" attribute="1" defaultMemberUniqueName="[LoanDetails].[Installment Amount].[All]" allUniqueName="[LoanDetails].[Installment Amount].[All]" dimensionUniqueName="[LoanDetails]" displayFolder="" count="0" memberValueDatatype="5" unbalanced="0"/>
    <cacheHierarchy uniqueName="[LoanDetails].[TAT]" caption="TAT" attribute="1" defaultMemberUniqueName="[LoanDetails].[TAT].[All]" allUniqueName="[LoanDetails].[TAT].[All]" dimensionUniqueName="[LoanDetails]" displayFolder="" count="0" memberValueDatatype="5" unbalanced="0"/>
    <cacheHierarchy uniqueName="[LoanDetails].[SLA]" caption="SLA" attribute="1" defaultMemberUniqueName="[LoanDetails].[SLA].[All]" allUniqueName="[LoanDetails].[SLA].[All]" dimensionUniqueName="[LoanDetails]" displayFolder="" count="0" memberValueDatatype="2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Measures].[Total Approved]" caption="Total Approved" measure="1" displayFolder="" measureGroup="LoanDetails" count="0"/>
    <cacheHierarchy uniqueName="[Measures].[Total Not Approved]" caption="Total Not Approved" measure="1" displayFolder="" measureGroup="LoanDetails" count="0"/>
    <cacheHierarchy uniqueName="[Measures].[AVG SLA&amp;TAT]" caption="AVG SLA&amp;TAT" measure="1" displayFolder="" measureGroup="LoanDetails" count="0"/>
    <cacheHierarchy uniqueName="[Measures].[__XL_Count Branch]" caption="__XL_Count Branch" measure="1" displayFolder="" measureGroup="Branch" count="0" hidden="1"/>
    <cacheHierarchy uniqueName="[Measures].[__XL_Count LoanDetails]" caption="__XL_Count LoanDetails" measure="1" displayFolder="" measureGroup="LoanDetail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ransaction ID]" caption="Count of Transaction ID" measure="1" displayFolder="" measureGroup="Loa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Branch" uniqueName="[Branch]" caption="Branch"/>
    <dimension name="Calendar" uniqueName="[Calendar]" caption="Calendar"/>
    <dimension name="LoanDetails" uniqueName="[LoanDetails]" caption="LoanDetails"/>
    <dimension measure="1" name="Measures" uniqueName="[Measures]" caption="Measures"/>
    <dimension name="Products" uniqueName="[Products]" caption="Products"/>
  </dimensions>
  <measureGroups count="4">
    <measureGroup name="Branch" caption="Branch"/>
    <measureGroup name="Calendar" caption="Calendar"/>
    <measureGroup name="LoanDetails" caption="LoanDetail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250.812213310186" backgroundQuery="1" createdVersion="8" refreshedVersion="8" minRefreshableVersion="3" recordCount="0" supportSubquery="1" supportAdvancedDrill="1" xr:uid="{34FC9094-206D-4F7B-B661-56D8B979B9F7}">
  <cacheSource type="external" connectionId="5"/>
  <cacheFields count="2">
    <cacheField name="[Measures].[Sum of Requested Amount]" caption="Sum of Requested Amount" numFmtId="0" hierarchy="35" level="32767"/>
    <cacheField name="[Branch].[Branch Name].[Branch Name]" caption="Branch Name" numFmtId="0" hierarchy="1" level="1">
      <sharedItems containsSemiMixedTypes="0" containsNonDate="0" containsString="0"/>
    </cacheField>
  </cacheFields>
  <cacheHierarchies count="37">
    <cacheHierarchy uniqueName="[Branch].[Branch ID]" caption="Branch ID" attribute="1" defaultMemberUniqueName="[Branch].[Branch ID].[All]" allUniqueName="[Branch].[Branch ID].[All]" dimensionUniqueName="[Branch]" displayFolder="" count="0" memberValueDatatype="130" unbalanced="0"/>
    <cacheHierarchy uniqueName="[Branch].[Branch Name]" caption="Branch Name" attribute="1" defaultMemberUniqueName="[Branch].[Branch Name].[All]" allUniqueName="[Branch].[Branch Name].[All]" dimensionUniqueName="[Branch]" displayFolder="" count="2" memberValueDatatype="130" unbalanced="0">
      <fieldsUsage count="2">
        <fieldUsage x="-1"/>
        <fieldUsage x="1"/>
      </fieldsUsage>
    </cacheHierarchy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2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or (Months)]" caption="Tenor (Months)" attribute="1" defaultMemberUniqueName="[LoanDetails].[Tenor (Months)].[All]" allUniqueName="[LoanDetails].[Tenor (Months)].[All]" dimensionUniqueName="[LoanDetails]" displayFolder="" count="0" memberValueDatatype="20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Installment Amount]" caption="Installment Amount" attribute="1" defaultMemberUniqueName="[LoanDetails].[Installment Amount].[All]" allUniqueName="[LoanDetails].[Installment Amount].[All]" dimensionUniqueName="[LoanDetails]" displayFolder="" count="0" memberValueDatatype="5" unbalanced="0"/>
    <cacheHierarchy uniqueName="[LoanDetails].[TAT]" caption="TAT" attribute="1" defaultMemberUniqueName="[LoanDetails].[TAT].[All]" allUniqueName="[LoanDetails].[TAT].[All]" dimensionUniqueName="[LoanDetails]" displayFolder="" count="0" memberValueDatatype="5" unbalanced="0"/>
    <cacheHierarchy uniqueName="[LoanDetails].[SLA]" caption="SLA" attribute="1" defaultMemberUniqueName="[LoanDetails].[SLA].[All]" allUniqueName="[LoanDetails].[SLA].[All]" dimensionUniqueName="[LoanDetails]" displayFolder="" count="0" memberValueDatatype="2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Measures].[Total Approved]" caption="Total Approved" measure="1" displayFolder="" measureGroup="LoanDetails" count="0"/>
    <cacheHierarchy uniqueName="[Measures].[Total Not Approved]" caption="Total Not Approved" measure="1" displayFolder="" measureGroup="LoanDetails" count="0"/>
    <cacheHierarchy uniqueName="[Measures].[AVG SLA&amp;TAT]" caption="AVG SLA&amp;TAT" measure="1" displayFolder="" measureGroup="LoanDetails" count="0"/>
    <cacheHierarchy uniqueName="[Measures].[__XL_Count Branch]" caption="__XL_Count Branch" measure="1" displayFolder="" measureGroup="Branch" count="0" hidden="1"/>
    <cacheHierarchy uniqueName="[Measures].[__XL_Count LoanDetails]" caption="__XL_Count LoanDetails" measure="1" displayFolder="" measureGroup="LoanDetail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quested Amount]" caption="Sum of Requested Amount" measure="1" displayFolder="" measureGroup="Loa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ransaction ID]" caption="Count of Transaction ID" measure="1" displayFolder="" measureGroup="LoanDetail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5">
    <dimension name="Branch" uniqueName="[Branch]" caption="Branch"/>
    <dimension name="Calendar" uniqueName="[Calendar]" caption="Calendar"/>
    <dimension name="LoanDetails" uniqueName="[LoanDetails]" caption="LoanDetails"/>
    <dimension measure="1" name="Measures" uniqueName="[Measures]" caption="Measures"/>
    <dimension name="Products" uniqueName="[Products]" caption="Products"/>
  </dimensions>
  <measureGroups count="4">
    <measureGroup name="Branch" caption="Branch"/>
    <measureGroup name="Calendar" caption="Calendar"/>
    <measureGroup name="LoanDetails" caption="LoanDetail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A133F-F1A2-4299-9F73-D3D4D3AE43D7}" name="LineChart" cacheId="136" applyNumberFormats="0" applyBorderFormats="0" applyFontFormats="0" applyPatternFormats="0" applyAlignmentFormats="0" applyWidthHeightFormats="1" dataCaption="Values" tag="5f2ce749-cb96-43a6-b71a-8df43d529e98" updatedVersion="8" minRefreshableVersion="3" useAutoFormatting="1" itemPrintTitles="1" createdVersion="8" indent="0" outline="1" outlineData="1" multipleFieldFilters="0" chartFormat="12" rowHeaderCaption="Year/Month">
  <location ref="M20:N34" firstHeaderRow="1" firstDataRow="1" firstDataCol="1"/>
  <pivotFields count="4"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1"/>
    <field x="3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Count of Transaction ID" fld="2" subtotal="count" baseField="0" baseItem="0"/>
  </dataFields>
  <formats count="2">
    <format dxfId="278">
      <pivotArea outline="0" collapsedLevelsAreSubtotals="1" fieldPosition="0"/>
    </format>
    <format dxfId="279">
      <pivotArea dataOnly="0" labelOnly="1" grandRow="1" outline="0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4">
      <autoFilter ref="A1">
        <filterColumn colId="0">
          <top10 val="5" filterVal="5"/>
        </filterColumn>
      </autoFilter>
    </filter>
  </filters>
  <rowHierarchiesUsage count="2">
    <rowHierarchyUsage hierarchyUsage="4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Details]"/>
        <x15:activeTabTopLevelEntity name="[Branch]"/>
        <x15:activeTabTopLevelEntity name="[Product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BEA92-33A1-4A0A-8F68-436135E2F5CC}" name="PieChart2" cacheId="80" applyNumberFormats="0" applyBorderFormats="0" applyFontFormats="0" applyPatternFormats="0" applyAlignmentFormats="0" applyWidthHeightFormats="1" dataCaption="Values" tag="a70c2f47-902c-4360-abd5-0f6fd6d2cdff" updatedVersion="8" minRefreshableVersion="3" useAutoFormatting="1" itemPrintTitles="1" createdVersion="8" indent="0" outline="1" outlineData="1" multipleFieldFilters="0" rowHeaderCaption="Officer ID">
  <location ref="M8:N14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Total Sales" fld="0" baseField="0" baseItem="0" numFmtId="43"/>
  </dataFields>
  <formats count="2">
    <format dxfId="280">
      <pivotArea outline="0" collapsedLevelsAreSubtotals="1" fieldPosition="0"/>
    </format>
    <format dxfId="281">
      <pivotArea dataOnly="0" labelOnly="1" grandRow="1" outline="0" fieldPosition="0"/>
    </format>
  </formats>
  <pivotHierarchies count="3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4">
      <autoFilter ref="A1">
        <filterColumn colId="0">
          <top10 val="5" filterVal="5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Details]"/>
        <x15:activeTabTopLevelEntity name="[Branch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3C509-456B-447B-AF9B-C2B4BCD2BFB1}" name="PieChart" cacheId="92" applyNumberFormats="0" applyBorderFormats="0" applyFontFormats="0" applyPatternFormats="0" applyAlignmentFormats="0" applyWidthHeightFormats="1" dataCaption="Values" tag="95615694-7cf1-4801-a2e2-3b2a152976b2" updatedVersion="8" minRefreshableVersion="3" useAutoFormatting="1" itemPrintTitles="1" createdVersion="8" indent="0" outline="1" outlineData="1" multipleFieldFilters="0" chartFormat="24" rowHeaderCaption="Product">
  <location ref="I24:J30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0" baseField="0" baseItem="0" numFmtId="43"/>
  </dataFields>
  <formats count="2">
    <format dxfId="282">
      <pivotArea outline="0" collapsedLevelsAreSubtotals="1" fieldPosition="0"/>
    </format>
    <format dxfId="283">
      <pivotArea dataOnly="0" labelOnly="1" grandRow="1" outline="0" fieldPosition="0"/>
    </format>
  </formats>
  <chartFormats count="6">
    <chartFormat chart="2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Details]"/>
        <x15:activeTabTopLevelEntity name="[Branch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4C16A-2282-43EA-AEBF-D784B7EF9C5E}" name="ColumnChart" cacheId="230" applyNumberFormats="0" applyBorderFormats="0" applyFontFormats="0" applyPatternFormats="0" applyAlignmentFormats="0" applyWidthHeightFormats="1" dataCaption="Values" tag="a35dcb93-5bdf-47f0-8944-a2df7cd4cbfb" updatedVersion="8" minRefreshableVersion="3" useAutoFormatting="1" subtotalHiddenItems="1" itemPrintTitles="1" createdVersion="8" indent="0" outline="1" outlineData="1" multipleFieldFilters="0" chartFormat="7" rowHeaderCaption="Branch">
  <location ref="I8:J19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4"/>
    </i>
    <i>
      <x v="3"/>
    </i>
    <i>
      <x v="2"/>
    </i>
    <i>
      <x/>
    </i>
    <i>
      <x v="7"/>
    </i>
    <i>
      <x v="6"/>
    </i>
    <i>
      <x v="5"/>
    </i>
    <i>
      <x v="9"/>
    </i>
    <i>
      <x v="8"/>
    </i>
    <i>
      <x v="1"/>
    </i>
    <i t="grand">
      <x/>
    </i>
  </rowItems>
  <colItems count="1">
    <i/>
  </colItems>
  <dataFields count="1">
    <dataField name="Total Sales" fld="0" baseField="0" baseItem="0" numFmtId="43"/>
  </dataFields>
  <formats count="3">
    <format dxfId="255">
      <pivotArea outline="0" collapsedLevelsAreSubtotals="1" fieldPosition="0"/>
    </format>
    <format dxfId="256">
      <pivotArea dataOnly="0" labelOnly="1" fieldPosition="0">
        <references count="1">
          <reference field="1" count="0"/>
        </references>
      </pivotArea>
    </format>
    <format dxfId="257">
      <pivotArea dataOnly="0" labelOnly="1" grandRow="1" outline="0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multipleItemSelectionAllowed="1"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Details]"/>
        <x15:activeTabTopLevelEntity name="[Branc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AA627-D482-4207-8C6A-499FAE399E39}" name="TotalApproved" cacheId="44" applyNumberFormats="0" applyBorderFormats="0" applyFontFormats="0" applyPatternFormats="0" applyAlignmentFormats="0" applyWidthHeightFormats="1" dataCaption="Values" tag="c563b1a6-3130-4ebd-bb22-7eee74caa130" updatedVersion="8" minRefreshableVersion="3" useAutoFormatting="1" itemPrintTitles="1" createdVersion="8" indent="0" outline="1" outlineData="1" multipleFieldFilters="0">
  <location ref="B23:B2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5"/>
  </dataFields>
  <formats count="5">
    <format dxfId="271">
      <pivotArea dataOnly="0" labelOnly="1" outline="0" axis="axisValues" fieldPosition="0"/>
    </format>
    <format dxfId="270">
      <pivotArea dataOnly="0" labelOnly="1" outline="0" axis="axisValues" fieldPosition="0"/>
    </format>
    <format dxfId="269">
      <pivotArea type="all" dataOnly="0" outline="0" fieldPosition="0"/>
    </format>
    <format dxfId="268">
      <pivotArea outline="0" collapsedLevelsAreSubtotals="1" fieldPosition="0"/>
    </format>
    <format dxfId="267">
      <pivotArea dataOnly="0" labelOnly="1" outline="0" axis="axisValues" fieldPosition="0"/>
    </format>
  </formats>
  <pivotHierarchies count="3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Requested Amount"/>
    <pivotHierarchy dragToData="1" caption="Count of Cases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12862-5999-4F89-A39C-D37932D09A40}" name="CountOfCases" cacheId="293" applyNumberFormats="0" applyBorderFormats="0" applyFontFormats="0" applyPatternFormats="0" applyAlignmentFormats="0" applyWidthHeightFormats="1" dataCaption="Values" tag="d3107fb4-bf40-4f93-b3b7-d6651b4b216a" updatedVersion="8" minRefreshableVersion="3" useAutoFormatting="1" itemPrintTitles="1" createdVersion="8" indent="0" outline="1" outlineData="1" multipleFieldFilters="0">
  <location ref="B18:B19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Count of Cases" fld="0" subtotal="count" baseField="0" baseItem="0" numFmtId="165"/>
  </dataFields>
  <formats count="5">
    <format dxfId="273">
      <pivotArea dataOnly="0" labelOnly="1" outline="0" axis="axisValues" fieldPosition="0"/>
    </format>
    <format dxfId="272">
      <pivotArea dataOnly="0" labelOnly="1" outline="0" axis="axisValues" fieldPosition="0"/>
    </format>
    <format dxfId="266">
      <pivotArea type="all" dataOnly="0" outline="0" fieldPosition="0"/>
    </format>
    <format dxfId="265">
      <pivotArea outline="0" collapsedLevelsAreSubtotals="1" fieldPosition="0"/>
    </format>
    <format dxfId="264">
      <pivotArea dataOnly="0" labelOnly="1" outline="0" axis="axisValues" fieldPosition="0"/>
    </format>
  </formats>
  <pivotHierarchies count="37">
    <pivotHierarchy dragToData="1"/>
    <pivotHierarchy multipleItemSelectionAllowed="1" dragToData="1">
      <members count="1" level="1">
        <member name="[Branch].[Branch Name].&amp;[Porterton]"/>
      </members>
    </pivotHierarchy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Requested Amount"/>
    <pivotHierarchy dragToData="1" caption="Count of Cases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B2710-25BC-4EA7-86E8-4D092A933EFB}" name=" RequestedAmount" cacheId="296" applyNumberFormats="0" applyBorderFormats="0" applyFontFormats="0" applyPatternFormats="0" applyAlignmentFormats="0" applyWidthHeightFormats="1" dataCaption="Values" tag="8d174458-038d-45ff-8517-c0c0ad70ea41" updatedVersion="8" minRefreshableVersion="3" useAutoFormatting="1" itemPrintTitles="1" createdVersion="8" indent="0" outline="1" outlineData="1" multipleFieldFilters="0">
  <location ref="B13:B1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Total Requested Amount" fld="0" baseField="0" baseItem="0" numFmtId="165"/>
  </dataFields>
  <formats count="5">
    <format dxfId="275">
      <pivotArea dataOnly="0" outline="0" axis="axisValues" fieldPosition="0"/>
    </format>
    <format dxfId="274">
      <pivotArea dataOnly="0" outline="0" axis="axisValues" fieldPosition="0"/>
    </format>
    <format dxfId="263">
      <pivotArea type="all" dataOnly="0" outline="0" fieldPosition="0"/>
    </format>
    <format dxfId="262">
      <pivotArea outline="0" collapsedLevelsAreSubtotals="1" fieldPosition="0"/>
    </format>
    <format dxfId="261">
      <pivotArea dataOnly="0" labelOnly="1" outline="0" axis="axisValues" fieldPosition="0"/>
    </format>
  </formats>
  <pivotHierarchies count="37">
    <pivotHierarchy dragToData="1"/>
    <pivotHierarchy multipleItemSelectionAllowed="1" dragToData="1">
      <members count="1" level="1">
        <member name="[Branch].[Branch Name].&amp;[Porterton]"/>
      </members>
    </pivotHierarchy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Requested Amount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E5C7E-2D30-4362-BB4E-998CAB0AFC0C}" name="TotalSales" cacheId="31" applyNumberFormats="0" applyBorderFormats="0" applyFontFormats="0" applyPatternFormats="0" applyAlignmentFormats="0" applyWidthHeightFormats="1" dataCaption="Values" tag="f20f7155-7701-4387-bd21-c92eaaf882db" updatedVersion="8" minRefreshableVersion="3" useAutoFormatting="1" itemPrintTitles="1" createdVersion="8" indent="0" outline="1" outlineData="1" multipleFieldFilters="0">
  <location ref="B8:B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Sales" fld="0" baseField="0" baseItem="0" numFmtId="165"/>
  </dataFields>
  <formats count="5">
    <format dxfId="277">
      <pivotArea dataOnly="0" labelOnly="1" outline="0" axis="axisValues" fieldPosition="0"/>
    </format>
    <format dxfId="276">
      <pivotArea dataOnly="0" labelOnly="1" outline="0" axis="axisValues" fieldPosition="0"/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dataOnly="0" labelOnly="1" outline="0" axis="axisValues" fieldPosition="0"/>
    </format>
  </formats>
  <pivotHierarchies count="37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2EFB-025D-4388-8A99-5CD654ACCF60}">
  <sheetPr>
    <tabColor theme="6" tint="-0.249977111117893"/>
  </sheetPr>
  <dimension ref="B2:N34"/>
  <sheetViews>
    <sheetView tabSelected="1" workbookViewId="0">
      <selection activeCell="M8" sqref="M8:N14"/>
    </sheetView>
  </sheetViews>
  <sheetFormatPr defaultRowHeight="14.4" x14ac:dyDescent="0.3"/>
  <cols>
    <col min="2" max="2" width="22.77734375" bestFit="1" customWidth="1"/>
    <col min="9" max="9" width="15.77734375" bestFit="1" customWidth="1"/>
    <col min="10" max="10" width="14.109375" bestFit="1" customWidth="1"/>
    <col min="11" max="11" width="8.33203125" bestFit="1" customWidth="1"/>
    <col min="12" max="12" width="6.88671875" bestFit="1" customWidth="1"/>
    <col min="13" max="13" width="14" bestFit="1" customWidth="1"/>
    <col min="14" max="14" width="21.5546875" bestFit="1" customWidth="1"/>
    <col min="15" max="17" width="6.88671875" bestFit="1" customWidth="1"/>
    <col min="18" max="18" width="10.33203125" bestFit="1" customWidth="1"/>
    <col min="19" max="19" width="7.77734375" bestFit="1" customWidth="1"/>
    <col min="20" max="21" width="9.6640625" bestFit="1" customWidth="1"/>
    <col min="22" max="22" width="10.5546875" bestFit="1" customWidth="1"/>
  </cols>
  <sheetData>
    <row r="2" spans="2:14" ht="14.4" customHeight="1" x14ac:dyDescent="0.3">
      <c r="B2" s="2" t="s">
        <v>0</v>
      </c>
      <c r="C2" s="1"/>
      <c r="D2" s="1"/>
      <c r="I2" s="2" t="s">
        <v>1</v>
      </c>
      <c r="J2" s="2"/>
      <c r="K2" s="2"/>
      <c r="L2" s="2"/>
      <c r="M2" s="2"/>
      <c r="N2" s="2"/>
    </row>
    <row r="3" spans="2:14" x14ac:dyDescent="0.3">
      <c r="B3" s="1"/>
      <c r="C3" s="1"/>
      <c r="D3" s="1"/>
      <c r="I3" s="2"/>
      <c r="J3" s="2"/>
      <c r="K3" s="2"/>
      <c r="L3" s="2"/>
      <c r="M3" s="2"/>
      <c r="N3" s="2"/>
    </row>
    <row r="6" spans="2:14" x14ac:dyDescent="0.3">
      <c r="I6" s="8" t="s">
        <v>29</v>
      </c>
      <c r="J6" s="9"/>
      <c r="M6" s="11" t="s">
        <v>28</v>
      </c>
      <c r="N6" s="12"/>
    </row>
    <row r="7" spans="2:14" x14ac:dyDescent="0.3">
      <c r="I7" s="9"/>
      <c r="J7" s="9"/>
      <c r="M7" s="12"/>
      <c r="N7" s="12"/>
    </row>
    <row r="8" spans="2:14" x14ac:dyDescent="0.3">
      <c r="B8" s="13" t="s">
        <v>2</v>
      </c>
      <c r="I8" s="3" t="s">
        <v>32</v>
      </c>
      <c r="J8" t="s">
        <v>2</v>
      </c>
      <c r="M8" s="5" t="s">
        <v>33</v>
      </c>
      <c r="N8" s="4" t="s">
        <v>2</v>
      </c>
    </row>
    <row r="9" spans="2:14" x14ac:dyDescent="0.3">
      <c r="B9" s="14">
        <v>38506166.450000003</v>
      </c>
      <c r="I9" s="6" t="s">
        <v>12</v>
      </c>
      <c r="J9" s="7">
        <v>4356335.4000000004</v>
      </c>
      <c r="M9" s="10" t="s">
        <v>27</v>
      </c>
      <c r="N9" s="4">
        <v>2590664.37</v>
      </c>
    </row>
    <row r="10" spans="2:14" x14ac:dyDescent="0.3">
      <c r="B10" s="14"/>
      <c r="I10" s="6" t="s">
        <v>11</v>
      </c>
      <c r="J10" s="7">
        <v>4233015.87</v>
      </c>
      <c r="M10" s="10" t="s">
        <v>24</v>
      </c>
      <c r="N10" s="4">
        <v>2488661.9</v>
      </c>
    </row>
    <row r="11" spans="2:14" x14ac:dyDescent="0.3">
      <c r="B11" s="14"/>
      <c r="I11" s="6" t="s">
        <v>10</v>
      </c>
      <c r="J11" s="7">
        <v>4060588.97</v>
      </c>
      <c r="M11" s="10" t="s">
        <v>26</v>
      </c>
      <c r="N11" s="4">
        <v>2474740.66</v>
      </c>
    </row>
    <row r="12" spans="2:14" x14ac:dyDescent="0.3">
      <c r="B12" s="14"/>
      <c r="I12" s="6" t="s">
        <v>8</v>
      </c>
      <c r="J12" s="7">
        <v>4015448.15</v>
      </c>
      <c r="M12" s="10" t="s">
        <v>25</v>
      </c>
      <c r="N12" s="4">
        <v>2272871.42</v>
      </c>
    </row>
    <row r="13" spans="2:14" x14ac:dyDescent="0.3">
      <c r="B13" s="16" t="s">
        <v>3</v>
      </c>
      <c r="I13" s="6" t="s">
        <v>15</v>
      </c>
      <c r="J13" s="7">
        <v>3946702.22</v>
      </c>
      <c r="M13" s="10" t="s">
        <v>23</v>
      </c>
      <c r="N13" s="4">
        <v>2219630.17</v>
      </c>
    </row>
    <row r="14" spans="2:14" x14ac:dyDescent="0.3">
      <c r="B14" s="15">
        <v>345132306</v>
      </c>
      <c r="I14" s="6" t="s">
        <v>14</v>
      </c>
      <c r="J14" s="7">
        <v>3788112</v>
      </c>
      <c r="M14" s="10" t="s">
        <v>4</v>
      </c>
      <c r="N14" s="4">
        <v>12046568.52</v>
      </c>
    </row>
    <row r="15" spans="2:14" x14ac:dyDescent="0.3">
      <c r="B15" s="14"/>
      <c r="I15" s="6" t="s">
        <v>13</v>
      </c>
      <c r="J15" s="7">
        <v>3639656.87</v>
      </c>
      <c r="M15" s="4"/>
      <c r="N15" s="4"/>
    </row>
    <row r="16" spans="2:14" x14ac:dyDescent="0.3">
      <c r="B16" s="14"/>
      <c r="I16" s="6" t="s">
        <v>17</v>
      </c>
      <c r="J16" s="7">
        <v>3558604.82</v>
      </c>
      <c r="M16" s="4"/>
      <c r="N16" s="4"/>
    </row>
    <row r="17" spans="2:14" x14ac:dyDescent="0.3">
      <c r="B17" s="14"/>
      <c r="I17" s="6" t="s">
        <v>16</v>
      </c>
      <c r="J17" s="7">
        <v>3526715.84</v>
      </c>
      <c r="M17" s="4"/>
      <c r="N17" s="4"/>
    </row>
    <row r="18" spans="2:14" x14ac:dyDescent="0.3">
      <c r="B18" s="16" t="s">
        <v>6</v>
      </c>
      <c r="I18" s="6" t="s">
        <v>9</v>
      </c>
      <c r="J18" s="7">
        <v>3380986.31</v>
      </c>
      <c r="M18" s="11" t="s">
        <v>46</v>
      </c>
      <c r="N18" s="12"/>
    </row>
    <row r="19" spans="2:14" x14ac:dyDescent="0.3">
      <c r="B19" s="15">
        <v>999</v>
      </c>
      <c r="I19" s="6" t="s">
        <v>4</v>
      </c>
      <c r="J19" s="7">
        <v>38506166.450000003</v>
      </c>
      <c r="M19" s="12"/>
      <c r="N19" s="12"/>
    </row>
    <row r="20" spans="2:14" x14ac:dyDescent="0.3">
      <c r="B20" s="14"/>
      <c r="I20" s="4"/>
      <c r="J20" s="4"/>
      <c r="M20" s="5" t="s">
        <v>47</v>
      </c>
      <c r="N20" s="4" t="s">
        <v>5</v>
      </c>
    </row>
    <row r="21" spans="2:14" x14ac:dyDescent="0.3">
      <c r="B21" s="14"/>
      <c r="I21" s="4"/>
      <c r="J21" s="4"/>
      <c r="M21" s="10">
        <v>2024</v>
      </c>
      <c r="N21" s="4"/>
    </row>
    <row r="22" spans="2:14" x14ac:dyDescent="0.3">
      <c r="B22" s="14"/>
      <c r="I22" s="11" t="s">
        <v>30</v>
      </c>
      <c r="J22" s="12"/>
      <c r="M22" s="18" t="s">
        <v>34</v>
      </c>
      <c r="N22" s="4">
        <v>41</v>
      </c>
    </row>
    <row r="23" spans="2:14" x14ac:dyDescent="0.3">
      <c r="B23" s="13" t="s">
        <v>7</v>
      </c>
      <c r="I23" s="12"/>
      <c r="J23" s="12"/>
      <c r="M23" s="18" t="s">
        <v>35</v>
      </c>
      <c r="N23" s="4">
        <v>42</v>
      </c>
    </row>
    <row r="24" spans="2:14" x14ac:dyDescent="0.3">
      <c r="B24" s="14">
        <v>38506166.450000003</v>
      </c>
      <c r="I24" s="5" t="s">
        <v>31</v>
      </c>
      <c r="J24" s="4" t="s">
        <v>2</v>
      </c>
      <c r="M24" s="18" t="s">
        <v>36</v>
      </c>
      <c r="N24" s="4">
        <v>51</v>
      </c>
    </row>
    <row r="25" spans="2:14" x14ac:dyDescent="0.3">
      <c r="I25" s="10" t="s">
        <v>22</v>
      </c>
      <c r="J25" s="4">
        <v>8236553.2300000004</v>
      </c>
      <c r="M25" s="18" t="s">
        <v>37</v>
      </c>
      <c r="N25" s="4">
        <v>31</v>
      </c>
    </row>
    <row r="26" spans="2:14" x14ac:dyDescent="0.3">
      <c r="I26" s="10" t="s">
        <v>18</v>
      </c>
      <c r="J26" s="4">
        <v>8187100.4400000004</v>
      </c>
      <c r="M26" s="18" t="s">
        <v>38</v>
      </c>
      <c r="N26" s="4">
        <v>40</v>
      </c>
    </row>
    <row r="27" spans="2:14" x14ac:dyDescent="0.3">
      <c r="I27" s="10" t="s">
        <v>19</v>
      </c>
      <c r="J27" s="4">
        <v>8133032.2300000004</v>
      </c>
      <c r="M27" s="18" t="s">
        <v>39</v>
      </c>
      <c r="N27" s="4">
        <v>49</v>
      </c>
    </row>
    <row r="28" spans="2:14" x14ac:dyDescent="0.3">
      <c r="I28" s="10" t="s">
        <v>20</v>
      </c>
      <c r="J28" s="4">
        <v>7267406.7300000004</v>
      </c>
      <c r="M28" s="18" t="s">
        <v>40</v>
      </c>
      <c r="N28" s="4">
        <v>44</v>
      </c>
    </row>
    <row r="29" spans="2:14" x14ac:dyDescent="0.3">
      <c r="I29" s="10" t="s">
        <v>21</v>
      </c>
      <c r="J29" s="4">
        <v>6682073.8200000003</v>
      </c>
      <c r="M29" s="18" t="s">
        <v>41</v>
      </c>
      <c r="N29" s="4">
        <v>44</v>
      </c>
    </row>
    <row r="30" spans="2:14" x14ac:dyDescent="0.3">
      <c r="I30" s="10" t="s">
        <v>4</v>
      </c>
      <c r="J30" s="4">
        <v>38506166.450000003</v>
      </c>
      <c r="M30" s="18" t="s">
        <v>42</v>
      </c>
      <c r="N30" s="4">
        <v>39</v>
      </c>
    </row>
    <row r="31" spans="2:14" x14ac:dyDescent="0.3">
      <c r="I31" s="4"/>
      <c r="J31" s="4"/>
      <c r="M31" s="18" t="s">
        <v>43</v>
      </c>
      <c r="N31" s="4">
        <v>37</v>
      </c>
    </row>
    <row r="32" spans="2:14" x14ac:dyDescent="0.3">
      <c r="I32" s="4"/>
      <c r="J32" s="4"/>
      <c r="M32" s="18" t="s">
        <v>44</v>
      </c>
      <c r="N32" s="4">
        <v>35</v>
      </c>
    </row>
    <row r="33" spans="9:14" x14ac:dyDescent="0.3">
      <c r="I33" s="4"/>
      <c r="J33" s="4"/>
      <c r="M33" s="18" t="s">
        <v>45</v>
      </c>
      <c r="N33" s="4">
        <v>54</v>
      </c>
    </row>
    <row r="34" spans="9:14" x14ac:dyDescent="0.3">
      <c r="I34" s="4"/>
      <c r="J34" s="4"/>
      <c r="M34" s="10" t="s">
        <v>4</v>
      </c>
      <c r="N34" s="4">
        <v>507</v>
      </c>
    </row>
  </sheetData>
  <mergeCells count="6">
    <mergeCell ref="B2:D3"/>
    <mergeCell ref="M6:N7"/>
    <mergeCell ref="I22:J23"/>
    <mergeCell ref="I6:J7"/>
    <mergeCell ref="M18:N19"/>
    <mergeCell ref="I2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3D0B-F79D-4481-8E78-A4FBC999F7A9}">
  <dimension ref="M35"/>
  <sheetViews>
    <sheetView topLeftCell="A4" workbookViewId="0">
      <selection activeCell="M35" sqref="M35"/>
    </sheetView>
  </sheetViews>
  <sheetFormatPr defaultRowHeight="14.4" x14ac:dyDescent="0.3"/>
  <sheetData>
    <row r="35" spans="13:13" x14ac:dyDescent="0.3">
      <c r="M35" s="1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E9B8A0B3-91FA-4B14-9B35-432B82F5E15F}">
  <ds:schemaRefs/>
</ds:datastoreItem>
</file>

<file path=customXml/itemProps2.xml><?xml version="1.0" encoding="utf-8"?>
<ds:datastoreItem xmlns:ds="http://schemas.openxmlformats.org/officeDocument/2006/customXml" ds:itemID="{7BA520B9-2D0D-4E1C-9EBD-F896343E7005}">
  <ds:schemaRefs/>
</ds:datastoreItem>
</file>

<file path=customXml/itemProps3.xml><?xml version="1.0" encoding="utf-8"?>
<ds:datastoreItem xmlns:ds="http://schemas.openxmlformats.org/officeDocument/2006/customXml" ds:itemID="{D35F04DF-E8F2-421D-8900-B61D17E04E28}">
  <ds:schemaRefs/>
</ds:datastoreItem>
</file>

<file path=customXml/itemProps4.xml><?xml version="1.0" encoding="utf-8"?>
<ds:datastoreItem xmlns:ds="http://schemas.openxmlformats.org/officeDocument/2006/customXml" ds:itemID="{D5099A5A-2A08-4B81-A6CD-2A8F34C2D17C}">
  <ds:schemaRefs/>
</ds:datastoreItem>
</file>

<file path=customXml/itemProps5.xml><?xml version="1.0" encoding="utf-8"?>
<ds:datastoreItem xmlns:ds="http://schemas.openxmlformats.org/officeDocument/2006/customXml" ds:itemID="{D48E5B84-57AB-420C-9376-59C8980023BB}">
  <ds:schemaRefs/>
</ds:datastoreItem>
</file>

<file path=customXml/itemProps6.xml><?xml version="1.0" encoding="utf-8"?>
<ds:datastoreItem xmlns:ds="http://schemas.openxmlformats.org/officeDocument/2006/customXml" ds:itemID="{0FD13AAB-E5DC-49E6-8CE8-10F6514F68C5}">
  <ds:schemaRefs/>
</ds:datastoreItem>
</file>

<file path=customXml/itemProps7.xml><?xml version="1.0" encoding="utf-8"?>
<ds:datastoreItem xmlns:ds="http://schemas.openxmlformats.org/officeDocument/2006/customXml" ds:itemID="{E881C9EB-0B08-4A0B-82C5-30022F9CC158}">
  <ds:schemaRefs/>
</ds:datastoreItem>
</file>

<file path=customXml/itemProps8.xml><?xml version="1.0" encoding="utf-8"?>
<ds:datastoreItem xmlns:ds="http://schemas.openxmlformats.org/officeDocument/2006/customXml" ds:itemID="{06EFC340-C73E-4210-A4EF-0A6C16669CB5}">
  <ds:schemaRefs/>
</ds:datastoreItem>
</file>

<file path=customXml/itemProps9.xml><?xml version="1.0" encoding="utf-8"?>
<ds:datastoreItem xmlns:ds="http://schemas.openxmlformats.org/officeDocument/2006/customXml" ds:itemID="{09E71F2F-465F-4B9B-A5D8-9F2A3708D3E9}">
  <ds:schemaRefs/>
</ds:datastoreItem>
</file>

<file path=customXml/itemProps10.xml><?xml version="1.0" encoding="utf-8"?>
<ds:datastoreItem xmlns:ds="http://schemas.openxmlformats.org/officeDocument/2006/customXml" ds:itemID="{6E5F18FD-C4D1-4F0B-A18C-E07FE1771637}">
  <ds:schemaRefs/>
</ds:datastoreItem>
</file>

<file path=customXml/itemProps11.xml><?xml version="1.0" encoding="utf-8"?>
<ds:datastoreItem xmlns:ds="http://schemas.openxmlformats.org/officeDocument/2006/customXml" ds:itemID="{40B3A073-9B82-4762-9CA4-F4FD856FC5B6}">
  <ds:schemaRefs/>
</ds:datastoreItem>
</file>

<file path=customXml/itemProps12.xml><?xml version="1.0" encoding="utf-8"?>
<ds:datastoreItem xmlns:ds="http://schemas.openxmlformats.org/officeDocument/2006/customXml" ds:itemID="{AF2551CC-EC22-408F-BDF3-96178AE7828A}">
  <ds:schemaRefs/>
</ds:datastoreItem>
</file>

<file path=customXml/itemProps13.xml><?xml version="1.0" encoding="utf-8"?>
<ds:datastoreItem xmlns:ds="http://schemas.openxmlformats.org/officeDocument/2006/customXml" ds:itemID="{CDD14B76-5E07-476F-9A94-87A14C9EC152}">
  <ds:schemaRefs/>
</ds:datastoreItem>
</file>

<file path=customXml/itemProps14.xml><?xml version="1.0" encoding="utf-8"?>
<ds:datastoreItem xmlns:ds="http://schemas.openxmlformats.org/officeDocument/2006/customXml" ds:itemID="{3B8198CA-E85A-4B06-A669-9D28E8CCCD4D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5F615E3D-9FB0-401C-A5C0-F75B8596666F}">
  <ds:schemaRefs/>
</ds:datastoreItem>
</file>

<file path=customXml/itemProps16.xml><?xml version="1.0" encoding="utf-8"?>
<ds:datastoreItem xmlns:ds="http://schemas.openxmlformats.org/officeDocument/2006/customXml" ds:itemID="{1416448E-423C-4A40-9D62-0A775DC9353F}">
  <ds:schemaRefs/>
</ds:datastoreItem>
</file>

<file path=customXml/itemProps17.xml><?xml version="1.0" encoding="utf-8"?>
<ds:datastoreItem xmlns:ds="http://schemas.openxmlformats.org/officeDocument/2006/customXml" ds:itemID="{F3A4C658-F87F-4F12-BDE4-DD4AC0CBDF64}">
  <ds:schemaRefs/>
</ds:datastoreItem>
</file>

<file path=customXml/itemProps18.xml><?xml version="1.0" encoding="utf-8"?>
<ds:datastoreItem xmlns:ds="http://schemas.openxmlformats.org/officeDocument/2006/customXml" ds:itemID="{AAC7530C-F75B-4FCF-8222-4FC0670BD89A}">
  <ds:schemaRefs/>
</ds:datastoreItem>
</file>

<file path=customXml/itemProps19.xml><?xml version="1.0" encoding="utf-8"?>
<ds:datastoreItem xmlns:ds="http://schemas.openxmlformats.org/officeDocument/2006/customXml" ds:itemID="{D283D073-3A2D-40AB-BBD7-61DC31DCB8B4}">
  <ds:schemaRefs/>
</ds:datastoreItem>
</file>

<file path=customXml/itemProps20.xml><?xml version="1.0" encoding="utf-8"?>
<ds:datastoreItem xmlns:ds="http://schemas.openxmlformats.org/officeDocument/2006/customXml" ds:itemID="{97F4EE6F-3E96-4EDB-8E8F-D35BF2AD0359}">
  <ds:schemaRefs/>
</ds:datastoreItem>
</file>

<file path=customXml/itemProps21.xml><?xml version="1.0" encoding="utf-8"?>
<ds:datastoreItem xmlns:ds="http://schemas.openxmlformats.org/officeDocument/2006/customXml" ds:itemID="{E522D2C6-386A-46C9-AB73-A66661D57092}">
  <ds:schemaRefs/>
</ds:datastoreItem>
</file>

<file path=customXml/itemProps22.xml><?xml version="1.0" encoding="utf-8"?>
<ds:datastoreItem xmlns:ds="http://schemas.openxmlformats.org/officeDocument/2006/customXml" ds:itemID="{19CB2491-FA65-46A1-8ED2-EFA62BAA5216}">
  <ds:schemaRefs/>
</ds:datastoreItem>
</file>

<file path=customXml/itemProps23.xml><?xml version="1.0" encoding="utf-8"?>
<ds:datastoreItem xmlns:ds="http://schemas.openxmlformats.org/officeDocument/2006/customXml" ds:itemID="{34F00F8E-10D8-4CBD-B0A9-1DF87B54BB06}">
  <ds:schemaRefs/>
</ds:datastoreItem>
</file>

<file path=customXml/itemProps24.xml><?xml version="1.0" encoding="utf-8"?>
<ds:datastoreItem xmlns:ds="http://schemas.openxmlformats.org/officeDocument/2006/customXml" ds:itemID="{C60C5F8C-9242-4D8E-A382-520688AD11F6}">
  <ds:schemaRefs/>
</ds:datastoreItem>
</file>

<file path=customXml/itemProps25.xml><?xml version="1.0" encoding="utf-8"?>
<ds:datastoreItem xmlns:ds="http://schemas.openxmlformats.org/officeDocument/2006/customXml" ds:itemID="{0C743E26-0BE3-42CE-A6D0-8FEEE142C720}">
  <ds:schemaRefs/>
</ds:datastoreItem>
</file>

<file path=customXml/itemProps26.xml><?xml version="1.0" encoding="utf-8"?>
<ds:datastoreItem xmlns:ds="http://schemas.openxmlformats.org/officeDocument/2006/customXml" ds:itemID="{36D15DEE-66A3-4AA4-96A0-06F518EAE0F7}">
  <ds:schemaRefs/>
</ds:datastoreItem>
</file>

<file path=customXml/itemProps27.xml><?xml version="1.0" encoding="utf-8"?>
<ds:datastoreItem xmlns:ds="http://schemas.openxmlformats.org/officeDocument/2006/customXml" ds:itemID="{24C6318A-5B88-4783-A4C3-7FDE2A7A54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Analytics Engine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</cp:lastModifiedBy>
  <dcterms:created xsi:type="dcterms:W3CDTF">2026-08-15T15:14:38Z</dcterms:created>
  <dcterms:modified xsi:type="dcterms:W3CDTF">2026-08-16T16:35:29Z</dcterms:modified>
</cp:coreProperties>
</file>